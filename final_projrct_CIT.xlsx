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650" activeTab="2"/>
  </bookViews>
  <sheets>
    <sheet name="Sheet3" sheetId="3" r:id="rId1"/>
    <sheet name="Sheet4" sheetId="4" r:id="rId2"/>
    <sheet name="Sheet1" sheetId="1" r:id="rId3"/>
    <sheet name="Sheet2" sheetId="2" r:id="rId4"/>
  </sheets>
  <calcPr calcId="162913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9" i="1" l="1"/>
  <c r="F90" i="1"/>
  <c r="F88" i="1"/>
  <c r="F87" i="1"/>
  <c r="F86" i="1"/>
  <c r="F85" i="1"/>
  <c r="F84" i="1"/>
  <c r="F83" i="1"/>
  <c r="J77" i="1"/>
  <c r="R77" i="1" s="1"/>
  <c r="R76" i="1"/>
  <c r="J76" i="1"/>
  <c r="J75" i="1"/>
  <c r="R75" i="1" s="1"/>
  <c r="R74" i="1"/>
  <c r="J74" i="1"/>
  <c r="J73" i="1"/>
  <c r="R73" i="1" s="1"/>
  <c r="R72" i="1"/>
  <c r="J72" i="1"/>
  <c r="J71" i="1"/>
  <c r="R71" i="1" s="1"/>
  <c r="R70" i="1"/>
  <c r="J70" i="1"/>
  <c r="J69" i="1"/>
  <c r="R69" i="1" s="1"/>
  <c r="R68" i="1"/>
  <c r="J68" i="1"/>
  <c r="J67" i="1"/>
  <c r="R67" i="1" s="1"/>
  <c r="R66" i="1"/>
  <c r="J66" i="1"/>
  <c r="J65" i="1"/>
  <c r="R65" i="1" s="1"/>
  <c r="R64" i="1"/>
  <c r="J64" i="1"/>
  <c r="J63" i="1"/>
  <c r="R63" i="1" s="1"/>
  <c r="R62" i="1"/>
  <c r="J62" i="1"/>
  <c r="J61" i="1"/>
  <c r="R61" i="1" s="1"/>
  <c r="R60" i="1"/>
  <c r="J60" i="1"/>
  <c r="J59" i="1"/>
  <c r="R59" i="1" s="1"/>
  <c r="R58" i="1"/>
  <c r="J58" i="1"/>
  <c r="J57" i="1"/>
  <c r="R57" i="1" s="1"/>
  <c r="R56" i="1"/>
  <c r="J56" i="1"/>
  <c r="J55" i="1"/>
  <c r="R55" i="1" s="1"/>
  <c r="R54" i="1"/>
  <c r="J54" i="1"/>
  <c r="J53" i="1"/>
  <c r="R53" i="1" s="1"/>
  <c r="R52" i="1"/>
  <c r="J52" i="1"/>
  <c r="J51" i="1"/>
  <c r="R51" i="1" s="1"/>
  <c r="R50" i="1"/>
  <c r="J50" i="1"/>
  <c r="J49" i="1"/>
  <c r="R49" i="1" s="1"/>
  <c r="R48" i="1"/>
  <c r="J48" i="1"/>
  <c r="J47" i="1"/>
  <c r="R47" i="1" s="1"/>
  <c r="R46" i="1"/>
  <c r="J46" i="1"/>
  <c r="J45" i="1"/>
  <c r="R45" i="1" s="1"/>
  <c r="R44" i="1"/>
  <c r="J44" i="1"/>
  <c r="J43" i="1"/>
  <c r="R43" i="1" s="1"/>
  <c r="R42" i="1"/>
  <c r="J42" i="1"/>
  <c r="J41" i="1"/>
  <c r="R41" i="1" s="1"/>
  <c r="R40" i="1"/>
  <c r="J40" i="1"/>
  <c r="J39" i="1"/>
  <c r="R39" i="1" s="1"/>
  <c r="R38" i="1"/>
  <c r="J38" i="1"/>
  <c r="J37" i="1"/>
  <c r="R37" i="1" s="1"/>
  <c r="R36" i="1"/>
  <c r="J36" i="1"/>
  <c r="J35" i="1"/>
  <c r="R35" i="1" s="1"/>
  <c r="R34" i="1"/>
  <c r="J34" i="1"/>
  <c r="J33" i="1"/>
  <c r="R33" i="1" s="1"/>
  <c r="R32" i="1"/>
  <c r="J32" i="1"/>
  <c r="J31" i="1"/>
  <c r="R31" i="1" s="1"/>
  <c r="R30" i="1"/>
  <c r="J30" i="1"/>
  <c r="J29" i="1"/>
  <c r="R29" i="1" s="1"/>
  <c r="R28" i="1"/>
  <c r="J28" i="1"/>
  <c r="J27" i="1"/>
  <c r="R27" i="1" s="1"/>
  <c r="R26" i="1"/>
  <c r="J26" i="1"/>
  <c r="J25" i="1"/>
  <c r="R25" i="1" s="1"/>
  <c r="R24" i="1"/>
  <c r="J24" i="1"/>
  <c r="J23" i="1"/>
  <c r="R23" i="1" s="1"/>
  <c r="R22" i="1"/>
  <c r="J22" i="1"/>
  <c r="J21" i="1"/>
  <c r="R21" i="1" s="1"/>
  <c r="R20" i="1"/>
  <c r="J20" i="1"/>
  <c r="J19" i="1"/>
  <c r="R19" i="1" s="1"/>
  <c r="R18" i="1"/>
  <c r="J18" i="1"/>
  <c r="J17" i="1"/>
  <c r="R17" i="1" s="1"/>
  <c r="R16" i="1"/>
  <c r="J16" i="1"/>
  <c r="J15" i="1"/>
  <c r="R15" i="1" s="1"/>
  <c r="R14" i="1"/>
  <c r="J14" i="1"/>
  <c r="J13" i="1"/>
  <c r="R13" i="1" s="1"/>
  <c r="R12" i="1"/>
  <c r="J12" i="1"/>
  <c r="J11" i="1"/>
  <c r="R11" i="1" s="1"/>
  <c r="R10" i="1"/>
  <c r="J10" i="1"/>
  <c r="J9" i="1"/>
  <c r="R9" i="1" s="1"/>
  <c r="R8" i="1"/>
  <c r="J8" i="1"/>
  <c r="J7" i="1"/>
  <c r="R7" i="1" s="1"/>
  <c r="R6" i="1"/>
  <c r="J6" i="1"/>
  <c r="J5" i="1"/>
  <c r="R5" i="1" s="1"/>
  <c r="R4" i="1"/>
  <c r="J4" i="1"/>
  <c r="J3" i="1"/>
  <c r="R3" i="1" s="1"/>
</calcChain>
</file>

<file path=xl/sharedStrings.xml><?xml version="1.0" encoding="utf-8"?>
<sst xmlns="http://schemas.openxmlformats.org/spreadsheetml/2006/main" count="602" uniqueCount="142">
  <si>
    <t>Automated Sales and Financial Report</t>
  </si>
  <si>
    <t>Order ID</t>
  </si>
  <si>
    <t>Date</t>
  </si>
  <si>
    <t>Employee Name</t>
  </si>
  <si>
    <t>Department</t>
  </si>
  <si>
    <t>Region</t>
  </si>
  <si>
    <t>Product</t>
  </si>
  <si>
    <t>Quantity</t>
  </si>
  <si>
    <t>Unit Price</t>
  </si>
  <si>
    <t>Total Sales</t>
  </si>
  <si>
    <t>Payment Mode</t>
  </si>
  <si>
    <t>Order Status</t>
  </si>
  <si>
    <t>Month</t>
  </si>
  <si>
    <t>Year</t>
  </si>
  <si>
    <t>Discount %</t>
  </si>
  <si>
    <t>Shipping Cost</t>
  </si>
  <si>
    <t>Tax</t>
  </si>
  <si>
    <t>Net Amount</t>
  </si>
  <si>
    <t>01-01-2025</t>
  </si>
  <si>
    <t>Hina</t>
  </si>
  <si>
    <t>Sales</t>
  </si>
  <si>
    <t>East</t>
  </si>
  <si>
    <t>Mobile</t>
  </si>
  <si>
    <t>Card</t>
  </si>
  <si>
    <t>Pending</t>
  </si>
  <si>
    <t>02-01-2025</t>
  </si>
  <si>
    <t>Ayesha</t>
  </si>
  <si>
    <t>West</t>
  </si>
  <si>
    <t>Printer</t>
  </si>
  <si>
    <t>Online</t>
  </si>
  <si>
    <t>03-01-2025</t>
  </si>
  <si>
    <t>HR</t>
  </si>
  <si>
    <t>Completed</t>
  </si>
  <si>
    <t>04-01-2025</t>
  </si>
  <si>
    <t>Sara</t>
  </si>
  <si>
    <t>Accounts</t>
  </si>
  <si>
    <t>05-01-2025</t>
  </si>
  <si>
    <t>Laptop</t>
  </si>
  <si>
    <t>06-01-2025</t>
  </si>
  <si>
    <t>South</t>
  </si>
  <si>
    <t>Cash</t>
  </si>
  <si>
    <t>Ahmed</t>
  </si>
  <si>
    <t>08-01-2025</t>
  </si>
  <si>
    <t>Ali</t>
  </si>
  <si>
    <t>IT</t>
  </si>
  <si>
    <t>09-01-2025</t>
  </si>
  <si>
    <t>Bilal</t>
  </si>
  <si>
    <t>10-01-2025</t>
  </si>
  <si>
    <t>Tablet</t>
  </si>
  <si>
    <t>11-01-2025</t>
  </si>
  <si>
    <t>12-01-2025</t>
  </si>
  <si>
    <t>13-01-2025</t>
  </si>
  <si>
    <t>North</t>
  </si>
  <si>
    <t>14-01-2025</t>
  </si>
  <si>
    <t>15-01-2025</t>
  </si>
  <si>
    <t>16-01-2025</t>
  </si>
  <si>
    <t>17-01-2025</t>
  </si>
  <si>
    <t>Monitor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</si>
  <si>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</si>
  <si>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</si>
  <si>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</si>
  <si>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</si>
  <si>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</si>
  <si>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</si>
  <si>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</si>
  <si>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</si>
  <si>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</si>
  <si>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</si>
  <si>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</si>
  <si>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</si>
  <si>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</si>
  <si>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</si>
  <si>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</si>
  <si>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</si>
  <si>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</si>
  <si>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</si>
  <si>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</si>
  <si>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</si>
  <si>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</si>
  <si>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</si>
  <si>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</si>
  <si>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</si>
  <si>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</si>
  <si>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</si>
  <si>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</si>
  <si>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</si>
  <si>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</si>
  <si>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</si>
  <si>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</si>
  <si>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</si>
  <si>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</si>
  <si>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</si>
  <si>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</si>
  <si>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</si>
  <si>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</si>
  <si>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</si>
  <si>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</si>
  <si>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</si>
  <si>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</si>
  <si>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</si>
  <si>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</si>
  <si>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</si>
  <si>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</si>
  <si>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</si>
  <si>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</si>
  <si>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</si>
  <si>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</si>
  <si>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</si>
  <si>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</si>
  <si>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</si>
  <si>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</si>
  <si>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</si>
  <si>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</si>
  <si>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</si>
  <si>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</si>
  <si>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</si>
  <si>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SUMMARY FORMULAS</t>
  </si>
  <si>
    <t>Total Revenue</t>
  </si>
  <si>
    <t>SUM</t>
  </si>
  <si>
    <t>Total Orders</t>
  </si>
  <si>
    <t xml:space="preserve">COUNT </t>
  </si>
  <si>
    <t>Employee Entries</t>
  </si>
  <si>
    <t>COUNTA</t>
  </si>
  <si>
    <t>Average Sale</t>
  </si>
  <si>
    <t>AVERAGE</t>
  </si>
  <si>
    <t>MAXIMUM SALE</t>
  </si>
  <si>
    <t>MAX</t>
  </si>
  <si>
    <t>MINIMUM SALE</t>
  </si>
  <si>
    <t>MIN</t>
  </si>
  <si>
    <t>Department-wise Sales</t>
  </si>
  <si>
    <t>SUMIF</t>
  </si>
  <si>
    <t>COUNTIF</t>
  </si>
  <si>
    <t>Serial No</t>
  </si>
  <si>
    <t>Sum of Year</t>
  </si>
  <si>
    <t>Row Labels</t>
  </si>
  <si>
    <t>Grand Total</t>
  </si>
  <si>
    <t>Column Labels</t>
  </si>
  <si>
    <t>Total Sum of Year</t>
  </si>
  <si>
    <t>Total Sum of Total Sales</t>
  </si>
  <si>
    <t>Sum of Total Sales</t>
  </si>
  <si>
    <t>Total Sum of Net Amount</t>
  </si>
  <si>
    <t>Sum of Net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</si>
</sst>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7" xfId="0" applyBorder="1" applyAlignment="1"/>
    <xf numFmtId="0" fontId="0" fillId="0" borderId="9" xfId="0" applyBorder="1" applyAlignment="1"/>
    <xf numFmtId="0" fontId="0" fillId="0" borderId="10" xfId="0" applyBorder="1"/>
    <xf numFmtId="0" fontId="2" fillId="0" borderId="3" xfId="0" applyFont="1" applyBorder="1"/>
    <xf numFmtId="0" fontId="2" fillId="0" borderId="4" xfId="0" applyFont="1" applyBorder="1" applyAlignment="1"/>
    <xf numFmtId="0" fontId="2" fillId="0" borderId="6" xfId="0" applyFont="1" applyBorder="1"/>
    <xf numFmtId="0" fontId="2" fillId="0" borderId="1" xfId="0" applyFont="1" applyBorder="1" applyAlignment="1"/>
    <xf numFmtId="0" fontId="2" fillId="0" borderId="6" xfId="0" applyFont="1" applyBorder="1" applyAlignment="1"/>
    <xf numFmtId="0" fontId="5" fillId="0" borderId="6" xfId="0" applyFont="1" applyBorder="1" applyAlignment="1"/>
    <xf numFmtId="0" fontId="5" fillId="0" borderId="1" xfId="0" applyFont="1" applyBorder="1" applyAlignment="1"/>
    <xf numFmtId="0" fontId="6" fillId="0" borderId="6" xfId="0" applyFont="1" applyBorder="1"/>
    <xf numFmtId="0" fontId="2" fillId="0" borderId="8" xfId="0" applyFont="1" applyBorder="1"/>
    <xf numFmtId="0" fontId="2" fillId="0" borderId="9" xfId="0" applyFon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2" xfId="0" applyBorder="1" applyAlignment="1"/>
    <xf numFmtId="0" fontId="4" fillId="0" borderId="2" xfId="0" applyFont="1" applyBorder="1"/>
    <xf numFmtId="0" fontId="0" fillId="0" borderId="2" xfId="0" applyBorder="1"/>
    <xf numFmtId="0" fontId="4" fillId="0" borderId="2" xfId="0" applyFont="1" applyBorder="1" applyAlignment="1"/>
    <xf numFmtId="0" fontId="0" fillId="3" borderId="1" xfId="0" applyFill="1" applyBorder="1"/>
    <xf numFmtId="14" fontId="0" fillId="3" borderId="1" xfId="0" applyNumberFormat="1" applyFill="1" applyBorder="1"/>
  </cellXfs>
  <cellStyles count="1">
    <cellStyle name="Normal" xfId="0" builtinId="0"/>
  </cellStyles>
  <dxfs count="4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053.415621990738" createdVersion="6" refreshedVersion="6" minRefreshableVersion="3" recordCount="75">
  <cacheSource type="worksheet">
    <worksheetSource ref="A2:R77" sheet="Sheet1"/>
  </cacheSource>
  <cacheFields count="18">
    <cacheField name="Order ID" numFmtId="0">
      <sharedItems containsSemiMixedTypes="0" containsString="0" containsNumber="1" containsInteger="1" minValue="5001" maxValue="5075"/>
    </cacheField>
    <cacheField name="Date" numFmtId="0">
      <sharedItems containsDate="1" containsMixedTypes="1" minDate="2025-07-01T00:00:00" maxDate="2025-07-02T00:00:00"/>
    </cacheField>
    <cacheField name="Serial No" numFmtId="0">
      <sharedItems containsSemiMixedTypes="0" containsString="0" containsNumber="1" containsInteger="1" minValue="739252" maxValue="739326"/>
    </cacheField>
    <cacheField name="Employee Name" numFmtId="0">
      <sharedItems/>
    </cacheField>
    <cacheField name="Department" numFmtId="0">
      <sharedItems/>
    </cacheField>
    <cacheField name="Region" numFmtId="0">
      <sharedItems/>
    </cacheField>
    <cacheField name="Product" numFmtId="0">
      <sharedItems count="5">
        <s v="Mobile"/>
        <s v="Printer"/>
        <s v="Laptop"/>
        <s v="Tablet"/>
        <s v="Monitor"/>
      </sharedItems>
    </cacheField>
    <cacheField name="Quantity" numFmtId="0">
      <sharedItems containsSemiMixedTypes="0" containsString="0" containsNumber="1" containsInteger="1" minValue="1" maxValue="5" count="5">
        <n v="2"/>
        <n v="5"/>
        <n v="4"/>
        <n v="1"/>
        <n v="3"/>
      </sharedItems>
    </cacheField>
    <cacheField name="Unit Price" numFmtId="0">
      <sharedItems containsSemiMixedTypes="0" containsString="0" containsNumber="1" containsInteger="1" minValue="30000" maxValue="120000"/>
    </cacheField>
    <cacheField name="Total Sales" numFmtId="0">
      <sharedItems containsSemiMixedTypes="0" containsString="0" containsNumber="1" containsInteger="1" minValue="30000" maxValue="600000"/>
    </cacheField>
    <cacheField name="Payment Mode" numFmtId="0">
      <sharedItems count="3">
        <s v="Card"/>
        <s v="Online"/>
        <s v="Cash"/>
      </sharedItems>
    </cacheField>
    <cacheField name="Order Status" numFmtId="0">
      <sharedItems/>
    </cacheField>
    <cacheField name="Month" numFmtId="0">
      <sharedItems containsSemiMixedTypes="0" containsString="0" containsNumber="1" containsInteger="1" minValue="1" maxValue="3" count="3">
        <n v="1"/>
        <n v="2"/>
        <n v="3"/>
      </sharedItems>
    </cacheField>
    <cacheField name="Year" numFmtId="0">
      <sharedItems containsSemiMixedTypes="0" containsString="0" containsNumber="1" containsInteger="1" minValue="2025" maxValue="2025" count="1">
        <n v="2025"/>
      </sharedItems>
    </cacheField>
    <cacheField name="Discount %" numFmtId="0">
      <sharedItems containsSemiMixedTypes="0" containsString="0" containsNumber="1" containsInteger="1" minValue="0" maxValue="10"/>
    </cacheField>
    <cacheField name="Shipping Cost" numFmtId="0">
      <sharedItems containsSemiMixedTypes="0" containsString="0" containsNumber="1" containsInteger="1" minValue="92" maxValue="4972"/>
    </cacheField>
    <cacheField name="Tax" numFmtId="0">
      <sharedItems containsSemiMixedTypes="0" containsString="0" containsNumber="1" containsInteger="1" minValue="7" maxValue="1888"/>
    </cacheField>
    <cacheField name="Net Amount" numFmtId="0">
      <sharedItems containsSemiMixedTypes="0" containsString="0" containsNumber="1" containsInteger="1" minValue="30417" maxValue="584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5">
  <r>
    <n v="5001"/>
    <s v="01-01-2025"/>
    <n v="739252"/>
    <s v="Hina"/>
    <s v="Sales"/>
    <s v="East"/>
    <x v="0"/>
    <x v="0"/>
    <n v="45000"/>
    <n v="90000"/>
    <x v="0"/>
    <s v="Pending"/>
    <x v="0"/>
    <x v="0"/>
    <n v="1"/>
    <n v="3401"/>
    <n v="691"/>
    <n v="93192"/>
  </r>
  <r>
    <n v="5002"/>
    <s v="02-01-2025"/>
    <n v="739253"/>
    <s v="Ayesha"/>
    <s v="Sales"/>
    <s v="West"/>
    <x v="1"/>
    <x v="1"/>
    <n v="35000"/>
    <n v="175000"/>
    <x v="1"/>
    <s v="Pending"/>
    <x v="0"/>
    <x v="0"/>
    <n v="1"/>
    <n v="574"/>
    <n v="649"/>
    <n v="174473"/>
  </r>
  <r>
    <n v="5003"/>
    <s v="03-01-2025"/>
    <n v="739254"/>
    <s v="Ayesha"/>
    <s v="HR"/>
    <s v="East"/>
    <x v="1"/>
    <x v="2"/>
    <n v="35000"/>
    <n v="140000"/>
    <x v="1"/>
    <s v="Completed"/>
    <x v="0"/>
    <x v="0"/>
    <n v="8"/>
    <n v="3941"/>
    <n v="1153"/>
    <n v="133894"/>
  </r>
  <r>
    <n v="5004"/>
    <s v="04-01-2025"/>
    <n v="739255"/>
    <s v="Sara"/>
    <s v="Accounts"/>
    <s v="East"/>
    <x v="1"/>
    <x v="0"/>
    <n v="35000"/>
    <n v="70000"/>
    <x v="0"/>
    <s v="Pending"/>
    <x v="0"/>
    <x v="0"/>
    <n v="5"/>
    <n v="2258"/>
    <n v="424"/>
    <n v="69182"/>
  </r>
  <r>
    <n v="5005"/>
    <s v="05-01-2025"/>
    <n v="739256"/>
    <s v="Hina"/>
    <s v="Sales"/>
    <s v="West"/>
    <x v="2"/>
    <x v="3"/>
    <n v="120000"/>
    <n v="120000"/>
    <x v="1"/>
    <s v="Completed"/>
    <x v="0"/>
    <x v="0"/>
    <n v="9"/>
    <n v="4898"/>
    <n v="1100"/>
    <n v="115198"/>
  </r>
  <r>
    <n v="5006"/>
    <s v="06-01-2025"/>
    <n v="739257"/>
    <s v="Sara"/>
    <s v="Accounts"/>
    <s v="South"/>
    <x v="1"/>
    <x v="0"/>
    <n v="35000"/>
    <n v="70000"/>
    <x v="2"/>
    <s v="Pending"/>
    <x v="0"/>
    <x v="0"/>
    <n v="4"/>
    <n v="4147"/>
    <n v="1516"/>
    <n v="72863"/>
  </r>
  <r>
    <n v="5007"/>
    <d v="2025-07-01T00:00:00"/>
    <n v="739258"/>
    <s v="Ahmed"/>
    <s v="Accounts"/>
    <s v="West"/>
    <x v="2"/>
    <x v="0"/>
    <n v="120000"/>
    <n v="240000"/>
    <x v="1"/>
    <s v="Completed"/>
    <x v="0"/>
    <x v="0"/>
    <n v="1"/>
    <n v="4225"/>
    <n v="1637"/>
    <n v="243462"/>
  </r>
  <r>
    <n v="5008"/>
    <s v="08-01-2025"/>
    <n v="739259"/>
    <s v="Ali"/>
    <s v="IT"/>
    <s v="South"/>
    <x v="2"/>
    <x v="0"/>
    <n v="120000"/>
    <n v="240000"/>
    <x v="0"/>
    <s v="Completed"/>
    <x v="0"/>
    <x v="0"/>
    <n v="6"/>
    <n v="1726"/>
    <n v="698"/>
    <n v="228024"/>
  </r>
  <r>
    <n v="5009"/>
    <s v="09-01-2025"/>
    <n v="739260"/>
    <s v="Bilal"/>
    <s v="IT"/>
    <s v="East"/>
    <x v="0"/>
    <x v="3"/>
    <n v="45000"/>
    <n v="45000"/>
    <x v="0"/>
    <s v="Pending"/>
    <x v="0"/>
    <x v="0"/>
    <n v="10"/>
    <n v="1829"/>
    <n v="583"/>
    <n v="42912"/>
  </r>
  <r>
    <n v="5010"/>
    <s v="10-01-2025"/>
    <n v="739261"/>
    <s v="Ali"/>
    <s v="Accounts"/>
    <s v="South"/>
    <x v="3"/>
    <x v="2"/>
    <n v="30000"/>
    <n v="120000"/>
    <x v="0"/>
    <s v="Pending"/>
    <x v="0"/>
    <x v="0"/>
    <n v="2"/>
    <n v="4098"/>
    <n v="431"/>
    <n v="122129"/>
  </r>
  <r>
    <n v="5011"/>
    <s v="11-01-2025"/>
    <n v="739262"/>
    <s v="Hina"/>
    <s v="Sales"/>
    <s v="West"/>
    <x v="3"/>
    <x v="0"/>
    <n v="30000"/>
    <n v="60000"/>
    <x v="1"/>
    <s v="Pending"/>
    <x v="0"/>
    <x v="0"/>
    <n v="9"/>
    <n v="536"/>
    <n v="232"/>
    <n v="55368"/>
  </r>
  <r>
    <n v="5012"/>
    <s v="12-01-2025"/>
    <n v="739263"/>
    <s v="Ali"/>
    <s v="IT"/>
    <s v="South"/>
    <x v="1"/>
    <x v="0"/>
    <n v="35000"/>
    <n v="70000"/>
    <x v="1"/>
    <s v="Pending"/>
    <x v="0"/>
    <x v="0"/>
    <n v="0"/>
    <n v="3592"/>
    <n v="1015"/>
    <n v="74607"/>
  </r>
  <r>
    <n v="5013"/>
    <s v="13-01-2025"/>
    <n v="739264"/>
    <s v="Ayesha"/>
    <s v="Sales"/>
    <s v="North"/>
    <x v="3"/>
    <x v="2"/>
    <n v="30000"/>
    <n v="120000"/>
    <x v="2"/>
    <s v="Completed"/>
    <x v="0"/>
    <x v="0"/>
    <n v="6"/>
    <n v="2451"/>
    <n v="1813"/>
    <n v="117064"/>
  </r>
  <r>
    <n v="5014"/>
    <s v="14-01-2025"/>
    <n v="739265"/>
    <s v="Ali"/>
    <s v="HR"/>
    <s v="South"/>
    <x v="2"/>
    <x v="3"/>
    <n v="120000"/>
    <n v="120000"/>
    <x v="0"/>
    <s v="Pending"/>
    <x v="0"/>
    <x v="0"/>
    <n v="0"/>
    <n v="1479"/>
    <n v="947"/>
    <n v="122426"/>
  </r>
  <r>
    <n v="5015"/>
    <s v="15-01-2025"/>
    <n v="739266"/>
    <s v="Hina"/>
    <s v="HR"/>
    <s v="West"/>
    <x v="2"/>
    <x v="1"/>
    <n v="120000"/>
    <n v="600000"/>
    <x v="2"/>
    <s v="Completed"/>
    <x v="0"/>
    <x v="0"/>
    <n v="3"/>
    <n v="382"/>
    <n v="1618"/>
    <n v="584000"/>
  </r>
  <r>
    <n v="5016"/>
    <s v="16-01-2025"/>
    <n v="739267"/>
    <s v="Bilal"/>
    <s v="HR"/>
    <s v="East"/>
    <x v="2"/>
    <x v="0"/>
    <n v="120000"/>
    <n v="240000"/>
    <x v="2"/>
    <s v="Pending"/>
    <x v="0"/>
    <x v="0"/>
    <n v="3"/>
    <n v="4075"/>
    <n v="157"/>
    <n v="237032"/>
  </r>
  <r>
    <n v="5017"/>
    <s v="17-01-2025"/>
    <n v="739268"/>
    <s v="Bilal"/>
    <s v="IT"/>
    <s v="East"/>
    <x v="4"/>
    <x v="3"/>
    <n v="40000"/>
    <n v="40000"/>
    <x v="2"/>
    <s v="Pending"/>
    <x v="0"/>
    <x v="0"/>
    <n v="2"/>
    <n v="761"/>
    <n v="438"/>
    <n v="40399"/>
  </r>
  <r>
    <n v="5018"/>
    <s v="18-01-2025"/>
    <n v="739269"/>
    <s v="Bilal"/>
    <s v="Accounts"/>
    <s v="West"/>
    <x v="0"/>
    <x v="2"/>
    <n v="45000"/>
    <n v="180000"/>
    <x v="1"/>
    <s v="Pending"/>
    <x v="0"/>
    <x v="0"/>
    <n v="4"/>
    <n v="4623"/>
    <n v="747"/>
    <n v="178170"/>
  </r>
  <r>
    <n v="5019"/>
    <s v="19-01-2025"/>
    <n v="739270"/>
    <s v="Sara"/>
    <s v="HR"/>
    <s v="South"/>
    <x v="2"/>
    <x v="4"/>
    <n v="120000"/>
    <n v="360000"/>
    <x v="2"/>
    <s v="Pending"/>
    <x v="0"/>
    <x v="0"/>
    <n v="5"/>
    <n v="3067"/>
    <n v="75"/>
    <n v="345142"/>
  </r>
  <r>
    <n v="5020"/>
    <s v="20-01-2025"/>
    <n v="739271"/>
    <s v="Ali"/>
    <s v="IT"/>
    <s v="East"/>
    <x v="1"/>
    <x v="3"/>
    <n v="35000"/>
    <n v="35000"/>
    <x v="0"/>
    <s v="Pending"/>
    <x v="0"/>
    <x v="0"/>
    <n v="8"/>
    <n v="2960"/>
    <n v="1552"/>
    <n v="36712"/>
  </r>
  <r>
    <n v="5021"/>
    <s v="21-01-2025"/>
    <n v="739272"/>
    <s v="Bilal"/>
    <s v="Accounts"/>
    <s v="West"/>
    <x v="3"/>
    <x v="2"/>
    <n v="30000"/>
    <n v="120000"/>
    <x v="2"/>
    <s v="Pending"/>
    <x v="0"/>
    <x v="0"/>
    <n v="0"/>
    <n v="1890"/>
    <n v="1395"/>
    <n v="123285"/>
  </r>
  <r>
    <n v="5022"/>
    <s v="22-01-2025"/>
    <n v="739273"/>
    <s v="Sara"/>
    <s v="IT"/>
    <s v="West"/>
    <x v="2"/>
    <x v="3"/>
    <n v="120000"/>
    <n v="120000"/>
    <x v="1"/>
    <s v="Pending"/>
    <x v="0"/>
    <x v="0"/>
    <n v="7"/>
    <n v="2851"/>
    <n v="546"/>
    <n v="114997"/>
  </r>
  <r>
    <n v="5023"/>
    <s v="23-01-2025"/>
    <n v="739274"/>
    <s v="Ayesha"/>
    <s v="HR"/>
    <s v="West"/>
    <x v="3"/>
    <x v="2"/>
    <n v="30000"/>
    <n v="120000"/>
    <x v="2"/>
    <s v="Pending"/>
    <x v="0"/>
    <x v="0"/>
    <n v="4"/>
    <n v="3299"/>
    <n v="8"/>
    <n v="118507"/>
  </r>
  <r>
    <n v="5024"/>
    <s v="24-01-2025"/>
    <n v="739275"/>
    <s v="Sara"/>
    <s v="Accounts"/>
    <s v="West"/>
    <x v="2"/>
    <x v="0"/>
    <n v="120000"/>
    <n v="240000"/>
    <x v="2"/>
    <s v="Completed"/>
    <x v="0"/>
    <x v="0"/>
    <n v="1"/>
    <n v="3144"/>
    <n v="1806"/>
    <n v="242550"/>
  </r>
  <r>
    <n v="5025"/>
    <s v="25-01-2025"/>
    <n v="739276"/>
    <s v="Hina"/>
    <s v="Accounts"/>
    <s v="North"/>
    <x v="3"/>
    <x v="2"/>
    <n v="30000"/>
    <n v="120000"/>
    <x v="1"/>
    <s v="Completed"/>
    <x v="0"/>
    <x v="0"/>
    <n v="3"/>
    <n v="4972"/>
    <n v="1840"/>
    <n v="123212"/>
  </r>
  <r>
    <n v="5026"/>
    <s v="26-01-2025"/>
    <n v="739277"/>
    <s v="Hina"/>
    <s v="IT"/>
    <s v="South"/>
    <x v="1"/>
    <x v="1"/>
    <n v="35000"/>
    <n v="175000"/>
    <x v="1"/>
    <s v="Completed"/>
    <x v="0"/>
    <x v="0"/>
    <n v="8"/>
    <n v="1785"/>
    <n v="1752"/>
    <n v="164537"/>
  </r>
  <r>
    <n v="5027"/>
    <s v="27-01-2025"/>
    <n v="739278"/>
    <s v="Ahmed"/>
    <s v="HR"/>
    <s v="South"/>
    <x v="3"/>
    <x v="4"/>
    <n v="30000"/>
    <n v="90000"/>
    <x v="1"/>
    <s v="Completed"/>
    <x v="0"/>
    <x v="0"/>
    <n v="4"/>
    <n v="4228"/>
    <n v="714"/>
    <n v="91342"/>
  </r>
  <r>
    <n v="5028"/>
    <s v="28-01-2025"/>
    <n v="739279"/>
    <s v="Hina"/>
    <s v="IT"/>
    <s v="West"/>
    <x v="3"/>
    <x v="4"/>
    <n v="30000"/>
    <n v="90000"/>
    <x v="2"/>
    <s v="Pending"/>
    <x v="0"/>
    <x v="0"/>
    <n v="7"/>
    <n v="1498"/>
    <n v="580"/>
    <n v="85778"/>
  </r>
  <r>
    <n v="5029"/>
    <s v="29-01-2025"/>
    <n v="739280"/>
    <s v="Ayesha"/>
    <s v="IT"/>
    <s v="North"/>
    <x v="0"/>
    <x v="0"/>
    <n v="45000"/>
    <n v="90000"/>
    <x v="2"/>
    <s v="Pending"/>
    <x v="0"/>
    <x v="0"/>
    <n v="5"/>
    <n v="3256"/>
    <n v="875"/>
    <n v="89631"/>
  </r>
  <r>
    <n v="5030"/>
    <s v="30-01-2025"/>
    <n v="739281"/>
    <s v="Hina"/>
    <s v="Sales"/>
    <s v="East"/>
    <x v="3"/>
    <x v="2"/>
    <n v="30000"/>
    <n v="120000"/>
    <x v="1"/>
    <s v="Pending"/>
    <x v="0"/>
    <x v="0"/>
    <n v="2"/>
    <n v="3193"/>
    <n v="1600"/>
    <n v="122393"/>
  </r>
  <r>
    <n v="5031"/>
    <s v="31-01-2025"/>
    <n v="739282"/>
    <s v="Ayesha"/>
    <s v="HR"/>
    <s v="East"/>
    <x v="2"/>
    <x v="3"/>
    <n v="120000"/>
    <n v="120000"/>
    <x v="2"/>
    <s v="Pending"/>
    <x v="0"/>
    <x v="0"/>
    <n v="5"/>
    <n v="2223"/>
    <n v="178"/>
    <n v="116401"/>
  </r>
  <r>
    <n v="5032"/>
    <s v="01-02-2025"/>
    <n v="739283"/>
    <s v="Hina"/>
    <s v="HR"/>
    <s v="North"/>
    <x v="4"/>
    <x v="2"/>
    <n v="40000"/>
    <n v="160000"/>
    <x v="1"/>
    <s v="Pending"/>
    <x v="1"/>
    <x v="0"/>
    <n v="9"/>
    <n v="4703"/>
    <n v="452"/>
    <n v="150755"/>
  </r>
  <r>
    <n v="5033"/>
    <s v="02-02-2025"/>
    <n v="739284"/>
    <s v="Ahmed"/>
    <s v="IT"/>
    <s v="South"/>
    <x v="4"/>
    <x v="4"/>
    <n v="40000"/>
    <n v="120000"/>
    <x v="1"/>
    <s v="Completed"/>
    <x v="1"/>
    <x v="0"/>
    <n v="4"/>
    <n v="4265"/>
    <n v="999"/>
    <n v="120464"/>
  </r>
  <r>
    <n v="5034"/>
    <s v="03-02-2025"/>
    <n v="739285"/>
    <s v="Sara"/>
    <s v="Sales"/>
    <s v="West"/>
    <x v="2"/>
    <x v="4"/>
    <n v="120000"/>
    <n v="360000"/>
    <x v="0"/>
    <s v="Pending"/>
    <x v="1"/>
    <x v="0"/>
    <n v="3"/>
    <n v="2892"/>
    <n v="1187"/>
    <n v="353279"/>
  </r>
  <r>
    <n v="5035"/>
    <s v="04-02-2025"/>
    <n v="739286"/>
    <s v="Sara"/>
    <s v="Accounts"/>
    <s v="West"/>
    <x v="0"/>
    <x v="1"/>
    <n v="45000"/>
    <n v="225000"/>
    <x v="1"/>
    <s v="Pending"/>
    <x v="1"/>
    <x v="0"/>
    <n v="7"/>
    <n v="2508"/>
    <n v="824"/>
    <n v="212582"/>
  </r>
  <r>
    <n v="5036"/>
    <s v="05-02-2025"/>
    <n v="739287"/>
    <s v="Ayesha"/>
    <s v="Sales"/>
    <s v="South"/>
    <x v="0"/>
    <x v="0"/>
    <n v="45000"/>
    <n v="90000"/>
    <x v="0"/>
    <s v="Completed"/>
    <x v="1"/>
    <x v="0"/>
    <n v="1"/>
    <n v="1200"/>
    <n v="1169"/>
    <n v="91469"/>
  </r>
  <r>
    <n v="5037"/>
    <s v="06-02-2025"/>
    <n v="739288"/>
    <s v="Sara"/>
    <s v="HR"/>
    <s v="West"/>
    <x v="1"/>
    <x v="3"/>
    <n v="35000"/>
    <n v="35000"/>
    <x v="2"/>
    <s v="Pending"/>
    <x v="1"/>
    <x v="0"/>
    <n v="7"/>
    <n v="3750"/>
    <n v="330"/>
    <n v="36630"/>
  </r>
  <r>
    <n v="5038"/>
    <s v="07-02-2025"/>
    <n v="739289"/>
    <s v="Ayesha"/>
    <s v="HR"/>
    <s v="South"/>
    <x v="4"/>
    <x v="0"/>
    <n v="40000"/>
    <n v="80000"/>
    <x v="0"/>
    <s v="Pending"/>
    <x v="1"/>
    <x v="0"/>
    <n v="2"/>
    <n v="771"/>
    <n v="215"/>
    <n v="79386"/>
  </r>
  <r>
    <n v="5039"/>
    <s v="08-02-2025"/>
    <n v="739290"/>
    <s v="Ayesha"/>
    <s v="Accounts"/>
    <s v="South"/>
    <x v="2"/>
    <x v="2"/>
    <n v="120000"/>
    <n v="480000"/>
    <x v="1"/>
    <s v="Pending"/>
    <x v="1"/>
    <x v="0"/>
    <n v="8"/>
    <n v="151"/>
    <n v="1888"/>
    <n v="443639"/>
  </r>
  <r>
    <n v="5040"/>
    <s v="09-02-2025"/>
    <n v="739291"/>
    <s v="Sara"/>
    <s v="Sales"/>
    <s v="West"/>
    <x v="2"/>
    <x v="4"/>
    <n v="120000"/>
    <n v="360000"/>
    <x v="0"/>
    <s v="Pending"/>
    <x v="1"/>
    <x v="0"/>
    <n v="6"/>
    <n v="2122"/>
    <n v="894"/>
    <n v="341416"/>
  </r>
  <r>
    <n v="5041"/>
    <s v="10-02-2025"/>
    <n v="739292"/>
    <s v="Ayesha"/>
    <s v="IT"/>
    <s v="North"/>
    <x v="3"/>
    <x v="3"/>
    <n v="30000"/>
    <n v="30000"/>
    <x v="0"/>
    <s v="Completed"/>
    <x v="1"/>
    <x v="0"/>
    <n v="3"/>
    <n v="662"/>
    <n v="655"/>
    <n v="30417"/>
  </r>
  <r>
    <n v="5042"/>
    <s v="11-02-2025"/>
    <n v="739293"/>
    <s v="Ali"/>
    <s v="Sales"/>
    <s v="West"/>
    <x v="2"/>
    <x v="4"/>
    <n v="120000"/>
    <n v="360000"/>
    <x v="1"/>
    <s v="Pending"/>
    <x v="1"/>
    <x v="0"/>
    <n v="3"/>
    <n v="4110"/>
    <n v="1428"/>
    <n v="354738"/>
  </r>
  <r>
    <n v="5043"/>
    <s v="12-02-2025"/>
    <n v="739294"/>
    <s v="Hina"/>
    <s v="IT"/>
    <s v="South"/>
    <x v="0"/>
    <x v="2"/>
    <n v="45000"/>
    <n v="180000"/>
    <x v="0"/>
    <s v="Completed"/>
    <x v="1"/>
    <x v="0"/>
    <n v="3"/>
    <n v="472"/>
    <n v="1857"/>
    <n v="176929"/>
  </r>
  <r>
    <n v="5044"/>
    <s v="13-02-2025"/>
    <n v="739295"/>
    <s v="Bilal"/>
    <s v="HR"/>
    <s v="North"/>
    <x v="0"/>
    <x v="4"/>
    <n v="45000"/>
    <n v="135000"/>
    <x v="1"/>
    <s v="Completed"/>
    <x v="1"/>
    <x v="0"/>
    <n v="5"/>
    <n v="3948"/>
    <n v="7"/>
    <n v="132205"/>
  </r>
  <r>
    <n v="5045"/>
    <s v="14-02-2025"/>
    <n v="739296"/>
    <s v="Bilal"/>
    <s v="Sales"/>
    <s v="North"/>
    <x v="2"/>
    <x v="4"/>
    <n v="120000"/>
    <n v="360000"/>
    <x v="2"/>
    <s v="Completed"/>
    <x v="1"/>
    <x v="0"/>
    <n v="0"/>
    <n v="3882"/>
    <n v="324"/>
    <n v="364206"/>
  </r>
  <r>
    <n v="5046"/>
    <s v="15-02-2025"/>
    <n v="739297"/>
    <s v="Sara"/>
    <s v="Accounts"/>
    <s v="West"/>
    <x v="3"/>
    <x v="0"/>
    <n v="30000"/>
    <n v="60000"/>
    <x v="2"/>
    <s v="Pending"/>
    <x v="1"/>
    <x v="0"/>
    <n v="8"/>
    <n v="3720"/>
    <n v="684"/>
    <n v="59604"/>
  </r>
  <r>
    <n v="5047"/>
    <s v="16-02-2025"/>
    <n v="739298"/>
    <s v="Ali"/>
    <s v="Accounts"/>
    <s v="South"/>
    <x v="3"/>
    <x v="0"/>
    <n v="30000"/>
    <n v="60000"/>
    <x v="0"/>
    <s v="Completed"/>
    <x v="1"/>
    <x v="0"/>
    <n v="6"/>
    <n v="2627"/>
    <n v="905"/>
    <n v="59932"/>
  </r>
  <r>
    <n v="5048"/>
    <s v="17-02-2025"/>
    <n v="739299"/>
    <s v="Ali"/>
    <s v="IT"/>
    <s v="West"/>
    <x v="1"/>
    <x v="3"/>
    <n v="35000"/>
    <n v="35000"/>
    <x v="2"/>
    <s v="Completed"/>
    <x v="1"/>
    <x v="0"/>
    <n v="10"/>
    <n v="2462"/>
    <n v="292"/>
    <n v="34254"/>
  </r>
  <r>
    <n v="5049"/>
    <s v="18-02-2025"/>
    <n v="739300"/>
    <s v="Sara"/>
    <s v="Accounts"/>
    <s v="South"/>
    <x v="3"/>
    <x v="1"/>
    <n v="30000"/>
    <n v="150000"/>
    <x v="0"/>
    <s v="Completed"/>
    <x v="1"/>
    <x v="0"/>
    <n v="10"/>
    <n v="2120"/>
    <n v="447"/>
    <n v="137567"/>
  </r>
  <r>
    <n v="5050"/>
    <s v="19-02-2025"/>
    <n v="739301"/>
    <s v="Bilal"/>
    <s v="Sales"/>
    <s v="West"/>
    <x v="4"/>
    <x v="0"/>
    <n v="40000"/>
    <n v="80000"/>
    <x v="1"/>
    <s v="Pending"/>
    <x v="1"/>
    <x v="0"/>
    <n v="3"/>
    <n v="3502"/>
    <n v="791"/>
    <n v="81893"/>
  </r>
  <r>
    <n v="5051"/>
    <s v="20-02-2025"/>
    <n v="739302"/>
    <s v="Ahmed"/>
    <s v="Accounts"/>
    <s v="South"/>
    <x v="3"/>
    <x v="2"/>
    <n v="30000"/>
    <n v="120000"/>
    <x v="2"/>
    <s v="Pending"/>
    <x v="1"/>
    <x v="0"/>
    <n v="8"/>
    <n v="1687"/>
    <n v="1678"/>
    <n v="113765"/>
  </r>
  <r>
    <n v="5052"/>
    <s v="21-02-2025"/>
    <n v="739303"/>
    <s v="Bilal"/>
    <s v="IT"/>
    <s v="West"/>
    <x v="2"/>
    <x v="0"/>
    <n v="120000"/>
    <n v="240000"/>
    <x v="2"/>
    <s v="Completed"/>
    <x v="1"/>
    <x v="0"/>
    <n v="9"/>
    <n v="837"/>
    <n v="577"/>
    <n v="219814"/>
  </r>
  <r>
    <n v="5053"/>
    <s v="22-02-2025"/>
    <n v="739304"/>
    <s v="Ayesha"/>
    <s v="HR"/>
    <s v="West"/>
    <x v="4"/>
    <x v="3"/>
    <n v="40000"/>
    <n v="40000"/>
    <x v="2"/>
    <s v="Pending"/>
    <x v="1"/>
    <x v="0"/>
    <n v="8"/>
    <n v="4724"/>
    <n v="1830"/>
    <n v="43354"/>
  </r>
  <r>
    <n v="5054"/>
    <s v="23-02-2025"/>
    <n v="739305"/>
    <s v="Sara"/>
    <s v="HR"/>
    <s v="West"/>
    <x v="2"/>
    <x v="2"/>
    <n v="120000"/>
    <n v="480000"/>
    <x v="2"/>
    <s v="Completed"/>
    <x v="1"/>
    <x v="0"/>
    <n v="0"/>
    <n v="3196"/>
    <n v="985"/>
    <n v="484181"/>
  </r>
  <r>
    <n v="5055"/>
    <s v="24-02-2025"/>
    <n v="739306"/>
    <s v="Ayesha"/>
    <s v="IT"/>
    <s v="South"/>
    <x v="1"/>
    <x v="2"/>
    <n v="35000"/>
    <n v="140000"/>
    <x v="2"/>
    <s v="Completed"/>
    <x v="1"/>
    <x v="0"/>
    <n v="6"/>
    <n v="3051"/>
    <n v="177"/>
    <n v="134828"/>
  </r>
  <r>
    <n v="5056"/>
    <s v="25-02-2025"/>
    <n v="739307"/>
    <s v="Hina"/>
    <s v="Accounts"/>
    <s v="North"/>
    <x v="2"/>
    <x v="2"/>
    <n v="120000"/>
    <n v="480000"/>
    <x v="0"/>
    <s v="Pending"/>
    <x v="1"/>
    <x v="0"/>
    <n v="6"/>
    <n v="3746"/>
    <n v="844"/>
    <n v="455790"/>
  </r>
  <r>
    <n v="5057"/>
    <s v="26-02-2025"/>
    <n v="739308"/>
    <s v="Ahmed"/>
    <s v="Sales"/>
    <s v="East"/>
    <x v="2"/>
    <x v="2"/>
    <n v="120000"/>
    <n v="480000"/>
    <x v="0"/>
    <s v="Completed"/>
    <x v="1"/>
    <x v="0"/>
    <n v="9"/>
    <n v="2051"/>
    <n v="1824"/>
    <n v="440675"/>
  </r>
  <r>
    <n v="5058"/>
    <s v="27-02-2025"/>
    <n v="739309"/>
    <s v="Sara"/>
    <s v="IT"/>
    <s v="North"/>
    <x v="1"/>
    <x v="4"/>
    <n v="35000"/>
    <n v="105000"/>
    <x v="0"/>
    <s v="Completed"/>
    <x v="1"/>
    <x v="0"/>
    <n v="2"/>
    <n v="573"/>
    <n v="179"/>
    <n v="103652"/>
  </r>
  <r>
    <n v="5059"/>
    <s v="28-02-2025"/>
    <n v="739310"/>
    <s v="Ali"/>
    <s v="HR"/>
    <s v="North"/>
    <x v="2"/>
    <x v="3"/>
    <n v="120000"/>
    <n v="120000"/>
    <x v="0"/>
    <s v="Pending"/>
    <x v="1"/>
    <x v="0"/>
    <n v="3"/>
    <n v="1560"/>
    <n v="503"/>
    <n v="118463"/>
  </r>
  <r>
    <n v="5060"/>
    <s v="01-03-2025"/>
    <n v="739311"/>
    <s v="Sara"/>
    <s v="Sales"/>
    <s v="North"/>
    <x v="1"/>
    <x v="2"/>
    <n v="35000"/>
    <n v="140000"/>
    <x v="0"/>
    <s v="Completed"/>
    <x v="2"/>
    <x v="0"/>
    <n v="8"/>
    <n v="1821"/>
    <n v="1127"/>
    <n v="131748"/>
  </r>
  <r>
    <n v="5061"/>
    <s v="02-03-2025"/>
    <n v="739312"/>
    <s v="Ahmed"/>
    <s v="Accounts"/>
    <s v="East"/>
    <x v="1"/>
    <x v="1"/>
    <n v="35000"/>
    <n v="175000"/>
    <x v="0"/>
    <s v="Pending"/>
    <x v="2"/>
    <x v="0"/>
    <n v="6"/>
    <n v="3864"/>
    <n v="738"/>
    <n v="169102"/>
  </r>
  <r>
    <n v="5062"/>
    <s v="03-03-2025"/>
    <n v="739313"/>
    <s v="Hina"/>
    <s v="HR"/>
    <s v="North"/>
    <x v="4"/>
    <x v="4"/>
    <n v="40000"/>
    <n v="120000"/>
    <x v="1"/>
    <s v="Pending"/>
    <x v="2"/>
    <x v="0"/>
    <n v="5"/>
    <n v="3658"/>
    <n v="940"/>
    <n v="118598"/>
  </r>
  <r>
    <n v="5063"/>
    <s v="04-03-2025"/>
    <n v="739314"/>
    <s v="Hina"/>
    <s v="Accounts"/>
    <s v="North"/>
    <x v="3"/>
    <x v="3"/>
    <n v="30000"/>
    <n v="30000"/>
    <x v="0"/>
    <s v="Pending"/>
    <x v="2"/>
    <x v="0"/>
    <n v="2"/>
    <n v="2348"/>
    <n v="1750"/>
    <n v="33498"/>
  </r>
  <r>
    <n v="5064"/>
    <s v="05-03-2025"/>
    <n v="739315"/>
    <s v="Ali"/>
    <s v="IT"/>
    <s v="West"/>
    <x v="3"/>
    <x v="0"/>
    <n v="30000"/>
    <n v="60000"/>
    <x v="2"/>
    <s v="Completed"/>
    <x v="2"/>
    <x v="0"/>
    <n v="6"/>
    <n v="3672"/>
    <n v="29"/>
    <n v="60101"/>
  </r>
  <r>
    <n v="5065"/>
    <s v="06-03-2025"/>
    <n v="739316"/>
    <s v="Bilal"/>
    <s v="HR"/>
    <s v="East"/>
    <x v="3"/>
    <x v="1"/>
    <n v="30000"/>
    <n v="150000"/>
    <x v="2"/>
    <s v="Pending"/>
    <x v="2"/>
    <x v="0"/>
    <n v="2"/>
    <n v="4657"/>
    <n v="198"/>
    <n v="151855"/>
  </r>
  <r>
    <n v="5066"/>
    <s v="07-03-2025"/>
    <n v="739317"/>
    <s v="Ali"/>
    <s v="HR"/>
    <s v="South"/>
    <x v="3"/>
    <x v="4"/>
    <n v="30000"/>
    <n v="90000"/>
    <x v="1"/>
    <s v="Pending"/>
    <x v="2"/>
    <x v="0"/>
    <n v="3"/>
    <n v="3523"/>
    <n v="1351"/>
    <n v="92174"/>
  </r>
  <r>
    <n v="5067"/>
    <s v="08-03-2025"/>
    <n v="739318"/>
    <s v="Ahmed"/>
    <s v="Accounts"/>
    <s v="East"/>
    <x v="3"/>
    <x v="4"/>
    <n v="30000"/>
    <n v="90000"/>
    <x v="1"/>
    <s v="Completed"/>
    <x v="2"/>
    <x v="0"/>
    <n v="4"/>
    <n v="92"/>
    <n v="913"/>
    <n v="87405"/>
  </r>
  <r>
    <n v="5068"/>
    <s v="09-03-2025"/>
    <n v="739319"/>
    <s v="Hina"/>
    <s v="HR"/>
    <s v="South"/>
    <x v="1"/>
    <x v="1"/>
    <n v="35000"/>
    <n v="175000"/>
    <x v="1"/>
    <s v="Completed"/>
    <x v="2"/>
    <x v="0"/>
    <n v="5"/>
    <n v="2567"/>
    <n v="280"/>
    <n v="169097"/>
  </r>
  <r>
    <n v="5069"/>
    <s v="10-03-2025"/>
    <n v="739320"/>
    <s v="Sara"/>
    <s v="Sales"/>
    <s v="West"/>
    <x v="3"/>
    <x v="0"/>
    <n v="30000"/>
    <n v="60000"/>
    <x v="0"/>
    <s v="Completed"/>
    <x v="2"/>
    <x v="0"/>
    <n v="6"/>
    <n v="1835"/>
    <n v="1033"/>
    <n v="59268"/>
  </r>
  <r>
    <n v="5070"/>
    <s v="11-03-2025"/>
    <n v="739321"/>
    <s v="Sara"/>
    <s v="Sales"/>
    <s v="North"/>
    <x v="1"/>
    <x v="2"/>
    <n v="35000"/>
    <n v="140000"/>
    <x v="2"/>
    <s v="Pending"/>
    <x v="2"/>
    <x v="0"/>
    <n v="3"/>
    <n v="1833"/>
    <n v="1642"/>
    <n v="139275"/>
  </r>
  <r>
    <n v="5071"/>
    <s v="12-03-2025"/>
    <n v="739322"/>
    <s v="Bilal"/>
    <s v="Sales"/>
    <s v="West"/>
    <x v="0"/>
    <x v="3"/>
    <n v="45000"/>
    <n v="45000"/>
    <x v="0"/>
    <s v="Pending"/>
    <x v="2"/>
    <x v="0"/>
    <n v="2"/>
    <n v="4856"/>
    <n v="1256"/>
    <n v="50212"/>
  </r>
  <r>
    <n v="5072"/>
    <s v="13-03-2025"/>
    <n v="739323"/>
    <s v="Ahmed"/>
    <s v="Sales"/>
    <s v="South"/>
    <x v="3"/>
    <x v="1"/>
    <n v="30000"/>
    <n v="150000"/>
    <x v="2"/>
    <s v="Completed"/>
    <x v="2"/>
    <x v="0"/>
    <n v="4"/>
    <n v="530"/>
    <n v="738"/>
    <n v="145268"/>
  </r>
  <r>
    <n v="5073"/>
    <s v="14-03-2025"/>
    <n v="739324"/>
    <s v="Hina"/>
    <s v="IT"/>
    <s v="North"/>
    <x v="0"/>
    <x v="0"/>
    <n v="45000"/>
    <n v="90000"/>
    <x v="2"/>
    <s v="Pending"/>
    <x v="2"/>
    <x v="0"/>
    <n v="0"/>
    <n v="3425"/>
    <n v="782"/>
    <n v="94207"/>
  </r>
  <r>
    <n v="5074"/>
    <s v="15-03-2025"/>
    <n v="739325"/>
    <s v="Bilal"/>
    <s v="Sales"/>
    <s v="East"/>
    <x v="0"/>
    <x v="0"/>
    <n v="45000"/>
    <n v="90000"/>
    <x v="1"/>
    <s v="Completed"/>
    <x v="2"/>
    <x v="0"/>
    <n v="8"/>
    <n v="2684"/>
    <n v="1469"/>
    <n v="86953"/>
  </r>
  <r>
    <n v="5075"/>
    <s v="16-03-2025"/>
    <n v="739326"/>
    <s v="Ahmed"/>
    <s v="HR"/>
    <s v="West"/>
    <x v="4"/>
    <x v="3"/>
    <n v="40000"/>
    <n v="40000"/>
    <x v="0"/>
    <s v="Completed"/>
    <x v="2"/>
    <x v="0"/>
    <n v="5"/>
    <n v="727"/>
    <n v="934"/>
    <n v="3966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:M12" firstHeaderRow="1" firstDataRow="3" firstDataCol="1" rowPageCount="2" colPageCount="1"/>
  <pivotFields count="18"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0"/>
        <item x="4"/>
        <item x="1"/>
        <item x="3"/>
        <item t="default"/>
      </items>
    </pivotField>
    <pivotField showAll="0">
      <items count="6">
        <item x="3"/>
        <item x="0"/>
        <item x="4"/>
        <item x="2"/>
        <item x="1"/>
        <item t="default"/>
      </items>
    </pivotField>
    <pivotField showAll="0"/>
    <pivotField dataField="1" showAll="0"/>
    <pivotField axis="axisPage" showAll="0">
      <items count="4">
        <item x="0"/>
        <item x="2"/>
        <item x="1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axis="axisPage" dataField="1" showAll="0">
      <items count="2">
        <item x="0"/>
        <item t="default"/>
      </items>
    </pivotField>
    <pivotField showAll="0"/>
    <pivotField showAll="0"/>
    <pivotField showAll="0"/>
    <pivotField dataField="1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12"/>
    <field x="-2"/>
  </colFields>
  <col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 t="grand">
      <x/>
    </i>
    <i t="grand" i="1">
      <x/>
    </i>
    <i t="grand" i="2">
      <x/>
    </i>
  </colItems>
  <pageFields count="2">
    <pageField fld="13" item="0" hier="-1"/>
    <pageField fld="10" item="0" hier="-1"/>
  </pageFields>
  <dataFields count="3">
    <dataField name="Sum of Year" fld="13" baseField="0" baseItem="0"/>
    <dataField name="Sum of Total Sales" fld="9" baseField="0" baseItem="0"/>
    <dataField name="Sum of Net Amount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:I12" firstHeaderRow="1" firstDataRow="3" firstDataCol="1" rowPageCount="2" colPageCount="1"/>
  <pivotFields count="18"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0"/>
        <item x="4"/>
        <item x="1"/>
        <item x="3"/>
        <item t="default"/>
      </items>
    </pivotField>
    <pivotField showAll="0"/>
    <pivotField showAll="0"/>
    <pivotField dataField="1" showAll="0"/>
    <pivotField axis="axisPage" multipleItemSelectionAllowed="1" showAll="0">
      <items count="4">
        <item h="1" x="0"/>
        <item x="2"/>
        <item h="1" x="1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axis="axisPage" multipleItemSelectionAllowed="1" showAll="0">
      <items count="2">
        <item x="0"/>
        <item t="default"/>
      </items>
    </pivotField>
    <pivotField showAll="0"/>
    <pivotField showAll="0"/>
    <pivotField showAll="0"/>
    <pivotField dataField="1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1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pageFields count="2">
    <pageField fld="13" hier="-1"/>
    <pageField fld="10" hier="-1"/>
  </pageFields>
  <dataFields count="2">
    <dataField name="Sum of Total Sales" fld="9" baseField="0" baseItem="0"/>
    <dataField name="Sum of Net Amount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workbookViewId="0">
      <selection activeCell="K20" sqref="K20"/>
    </sheetView>
  </sheetViews>
  <sheetFormatPr defaultRowHeight="15" x14ac:dyDescent="0.25"/>
  <cols>
    <col min="1" max="1" width="14.5703125" bestFit="1" customWidth="1"/>
    <col min="2" max="2" width="16.28515625" customWidth="1"/>
    <col min="3" max="3" width="17.28515625" customWidth="1"/>
    <col min="4" max="4" width="18.7109375" customWidth="1"/>
    <col min="5" max="5" width="11.5703125" customWidth="1"/>
    <col min="6" max="6" width="17.28515625" bestFit="1" customWidth="1"/>
    <col min="7" max="7" width="18.7109375" bestFit="1" customWidth="1"/>
    <col min="8" max="8" width="11.5703125" customWidth="1"/>
    <col min="9" max="9" width="17.28515625" customWidth="1"/>
    <col min="10" max="10" width="18.7109375" bestFit="1" customWidth="1"/>
    <col min="11" max="11" width="16.5703125" bestFit="1" customWidth="1"/>
    <col min="12" max="12" width="22.28515625" bestFit="1" customWidth="1"/>
    <col min="13" max="13" width="23.7109375" bestFit="1" customWidth="1"/>
  </cols>
  <sheetData>
    <row r="1" spans="1:13" x14ac:dyDescent="0.25">
      <c r="A1" s="3" t="s">
        <v>13</v>
      </c>
      <c r="B1" s="4">
        <v>2025</v>
      </c>
    </row>
    <row r="2" spans="1:13" x14ac:dyDescent="0.25">
      <c r="A2" s="3" t="s">
        <v>10</v>
      </c>
      <c r="B2" t="s">
        <v>23</v>
      </c>
    </row>
    <row r="4" spans="1:13" x14ac:dyDescent="0.25">
      <c r="B4" s="3" t="s">
        <v>136</v>
      </c>
    </row>
    <row r="5" spans="1:13" x14ac:dyDescent="0.25">
      <c r="B5">
        <v>1</v>
      </c>
      <c r="E5">
        <v>2</v>
      </c>
      <c r="H5">
        <v>3</v>
      </c>
      <c r="K5" t="s">
        <v>137</v>
      </c>
      <c r="L5" t="s">
        <v>138</v>
      </c>
      <c r="M5" t="s">
        <v>140</v>
      </c>
    </row>
    <row r="6" spans="1:13" x14ac:dyDescent="0.25">
      <c r="A6" s="3" t="s">
        <v>134</v>
      </c>
      <c r="B6" t="s">
        <v>133</v>
      </c>
      <c r="C6" t="s">
        <v>139</v>
      </c>
      <c r="D6" t="s">
        <v>141</v>
      </c>
      <c r="E6" t="s">
        <v>133</v>
      </c>
      <c r="F6" t="s">
        <v>139</v>
      </c>
      <c r="G6" t="s">
        <v>141</v>
      </c>
      <c r="H6" t="s">
        <v>133</v>
      </c>
      <c r="I6" t="s">
        <v>139</v>
      </c>
      <c r="J6" t="s">
        <v>141</v>
      </c>
    </row>
    <row r="7" spans="1:13" x14ac:dyDescent="0.25">
      <c r="A7" s="4" t="s">
        <v>37</v>
      </c>
      <c r="B7" s="2">
        <v>4050</v>
      </c>
      <c r="C7" s="2">
        <v>360000</v>
      </c>
      <c r="D7" s="2">
        <v>350450</v>
      </c>
      <c r="E7" s="2">
        <v>10125</v>
      </c>
      <c r="F7" s="2">
        <v>1800000</v>
      </c>
      <c r="G7" s="2">
        <v>1709623</v>
      </c>
      <c r="H7" s="2"/>
      <c r="I7" s="2"/>
      <c r="J7" s="2"/>
      <c r="K7" s="2">
        <v>14175</v>
      </c>
      <c r="L7" s="2">
        <v>2160000</v>
      </c>
      <c r="M7" s="2">
        <v>2060073</v>
      </c>
    </row>
    <row r="8" spans="1:13" x14ac:dyDescent="0.25">
      <c r="A8" s="4" t="s">
        <v>22</v>
      </c>
      <c r="B8" s="2">
        <v>4050</v>
      </c>
      <c r="C8" s="2">
        <v>135000</v>
      </c>
      <c r="D8" s="2">
        <v>136104</v>
      </c>
      <c r="E8" s="2">
        <v>4050</v>
      </c>
      <c r="F8" s="2">
        <v>270000</v>
      </c>
      <c r="G8" s="2">
        <v>268398</v>
      </c>
      <c r="H8" s="2">
        <v>2025</v>
      </c>
      <c r="I8" s="2">
        <v>45000</v>
      </c>
      <c r="J8" s="2">
        <v>50212</v>
      </c>
      <c r="K8" s="2">
        <v>10125</v>
      </c>
      <c r="L8" s="2">
        <v>450000</v>
      </c>
      <c r="M8" s="2">
        <v>454714</v>
      </c>
    </row>
    <row r="9" spans="1:13" x14ac:dyDescent="0.25">
      <c r="A9" s="4" t="s">
        <v>57</v>
      </c>
      <c r="B9" s="2"/>
      <c r="C9" s="2"/>
      <c r="D9" s="2"/>
      <c r="E9" s="2">
        <v>2025</v>
      </c>
      <c r="F9" s="2">
        <v>80000</v>
      </c>
      <c r="G9" s="2">
        <v>79386</v>
      </c>
      <c r="H9" s="2">
        <v>2025</v>
      </c>
      <c r="I9" s="2">
        <v>40000</v>
      </c>
      <c r="J9" s="2">
        <v>39661</v>
      </c>
      <c r="K9" s="2">
        <v>4050</v>
      </c>
      <c r="L9" s="2">
        <v>120000</v>
      </c>
      <c r="M9" s="2">
        <v>119047</v>
      </c>
    </row>
    <row r="10" spans="1:13" x14ac:dyDescent="0.25">
      <c r="A10" s="4" t="s">
        <v>28</v>
      </c>
      <c r="B10" s="2">
        <v>4050</v>
      </c>
      <c r="C10" s="2">
        <v>105000</v>
      </c>
      <c r="D10" s="2">
        <v>105894</v>
      </c>
      <c r="E10" s="2">
        <v>2025</v>
      </c>
      <c r="F10" s="2">
        <v>105000</v>
      </c>
      <c r="G10" s="2">
        <v>103652</v>
      </c>
      <c r="H10" s="2">
        <v>4050</v>
      </c>
      <c r="I10" s="2">
        <v>315000</v>
      </c>
      <c r="J10" s="2">
        <v>300850</v>
      </c>
      <c r="K10" s="2">
        <v>10125</v>
      </c>
      <c r="L10" s="2">
        <v>525000</v>
      </c>
      <c r="M10" s="2">
        <v>510396</v>
      </c>
    </row>
    <row r="11" spans="1:13" x14ac:dyDescent="0.25">
      <c r="A11" s="4" t="s">
        <v>48</v>
      </c>
      <c r="B11" s="2">
        <v>2025</v>
      </c>
      <c r="C11" s="2">
        <v>120000</v>
      </c>
      <c r="D11" s="2">
        <v>122129</v>
      </c>
      <c r="E11" s="2">
        <v>6075</v>
      </c>
      <c r="F11" s="2">
        <v>240000</v>
      </c>
      <c r="G11" s="2">
        <v>227916</v>
      </c>
      <c r="H11" s="2">
        <v>4050</v>
      </c>
      <c r="I11" s="2">
        <v>90000</v>
      </c>
      <c r="J11" s="2">
        <v>92766</v>
      </c>
      <c r="K11" s="2">
        <v>12150</v>
      </c>
      <c r="L11" s="2">
        <v>450000</v>
      </c>
      <c r="M11" s="2">
        <v>442811</v>
      </c>
    </row>
    <row r="12" spans="1:13" x14ac:dyDescent="0.25">
      <c r="A12" s="4" t="s">
        <v>135</v>
      </c>
      <c r="B12" s="2">
        <v>14175</v>
      </c>
      <c r="C12" s="2">
        <v>720000</v>
      </c>
      <c r="D12" s="2">
        <v>714577</v>
      </c>
      <c r="E12" s="2">
        <v>24300</v>
      </c>
      <c r="F12" s="2">
        <v>2495000</v>
      </c>
      <c r="G12" s="2">
        <v>2388975</v>
      </c>
      <c r="H12" s="2">
        <v>12150</v>
      </c>
      <c r="I12" s="2">
        <v>490000</v>
      </c>
      <c r="J12" s="2">
        <v>483489</v>
      </c>
      <c r="K12" s="2">
        <v>50625</v>
      </c>
      <c r="L12" s="2">
        <v>3705000</v>
      </c>
      <c r="M12" s="2">
        <v>3587041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/>
  </sheetViews>
  <sheetFormatPr defaultRowHeight="15" x14ac:dyDescent="0.25"/>
  <cols>
    <col min="1" max="1" width="14.5703125" customWidth="1"/>
    <col min="2" max="2" width="17.28515625" customWidth="1"/>
    <col min="3" max="3" width="18.7109375" customWidth="1"/>
    <col min="4" max="4" width="17.28515625" customWidth="1"/>
    <col min="5" max="5" width="18.7109375" bestFit="1" customWidth="1"/>
    <col min="6" max="6" width="17.28515625" bestFit="1" customWidth="1"/>
    <col min="7" max="7" width="18.7109375" bestFit="1" customWidth="1"/>
    <col min="8" max="8" width="22.28515625" bestFit="1" customWidth="1"/>
    <col min="9" max="9" width="23.7109375" bestFit="1" customWidth="1"/>
  </cols>
  <sheetData>
    <row r="1" spans="1:9" x14ac:dyDescent="0.25">
      <c r="A1" s="3" t="s">
        <v>13</v>
      </c>
      <c r="B1" s="4">
        <v>2025</v>
      </c>
    </row>
    <row r="2" spans="1:9" x14ac:dyDescent="0.25">
      <c r="A2" s="3" t="s">
        <v>10</v>
      </c>
      <c r="B2" t="s">
        <v>40</v>
      </c>
    </row>
    <row r="4" spans="1:9" x14ac:dyDescent="0.25">
      <c r="B4" s="3" t="s">
        <v>136</v>
      </c>
    </row>
    <row r="5" spans="1:9" x14ac:dyDescent="0.25">
      <c r="B5">
        <v>1</v>
      </c>
      <c r="D5">
        <v>2</v>
      </c>
      <c r="F5">
        <v>3</v>
      </c>
      <c r="H5" t="s">
        <v>138</v>
      </c>
      <c r="I5" t="s">
        <v>140</v>
      </c>
    </row>
    <row r="6" spans="1:9" x14ac:dyDescent="0.25">
      <c r="A6" s="3" t="s">
        <v>134</v>
      </c>
      <c r="B6" t="s">
        <v>139</v>
      </c>
      <c r="C6" t="s">
        <v>141</v>
      </c>
      <c r="D6" t="s">
        <v>139</v>
      </c>
      <c r="E6" t="s">
        <v>141</v>
      </c>
      <c r="F6" t="s">
        <v>139</v>
      </c>
      <c r="G6" t="s">
        <v>141</v>
      </c>
    </row>
    <row r="7" spans="1:9" x14ac:dyDescent="0.25">
      <c r="A7" s="4" t="s">
        <v>37</v>
      </c>
      <c r="B7" s="2">
        <v>1560000</v>
      </c>
      <c r="C7" s="2">
        <v>1525125</v>
      </c>
      <c r="D7" s="2">
        <v>1080000</v>
      </c>
      <c r="E7" s="2">
        <v>1068201</v>
      </c>
      <c r="F7" s="2"/>
      <c r="G7" s="2"/>
      <c r="H7" s="2">
        <v>2640000</v>
      </c>
      <c r="I7" s="2">
        <v>2593326</v>
      </c>
    </row>
    <row r="8" spans="1:9" x14ac:dyDescent="0.25">
      <c r="A8" s="4" t="s">
        <v>22</v>
      </c>
      <c r="B8" s="2">
        <v>90000</v>
      </c>
      <c r="C8" s="2">
        <v>89631</v>
      </c>
      <c r="D8" s="2"/>
      <c r="E8" s="2"/>
      <c r="F8" s="2">
        <v>90000</v>
      </c>
      <c r="G8" s="2">
        <v>94207</v>
      </c>
      <c r="H8" s="2">
        <v>180000</v>
      </c>
      <c r="I8" s="2">
        <v>183838</v>
      </c>
    </row>
    <row r="9" spans="1:9" x14ac:dyDescent="0.25">
      <c r="A9" s="4" t="s">
        <v>57</v>
      </c>
      <c r="B9" s="2">
        <v>40000</v>
      </c>
      <c r="C9" s="2">
        <v>40399</v>
      </c>
      <c r="D9" s="2">
        <v>40000</v>
      </c>
      <c r="E9" s="2">
        <v>43354</v>
      </c>
      <c r="F9" s="2"/>
      <c r="G9" s="2"/>
      <c r="H9" s="2">
        <v>80000</v>
      </c>
      <c r="I9" s="2">
        <v>83753</v>
      </c>
    </row>
    <row r="10" spans="1:9" x14ac:dyDescent="0.25">
      <c r="A10" s="4" t="s">
        <v>28</v>
      </c>
      <c r="B10" s="2">
        <v>70000</v>
      </c>
      <c r="C10" s="2">
        <v>72863</v>
      </c>
      <c r="D10" s="2">
        <v>210000</v>
      </c>
      <c r="E10" s="2">
        <v>205712</v>
      </c>
      <c r="F10" s="2">
        <v>140000</v>
      </c>
      <c r="G10" s="2">
        <v>139275</v>
      </c>
      <c r="H10" s="2">
        <v>420000</v>
      </c>
      <c r="I10" s="2">
        <v>417850</v>
      </c>
    </row>
    <row r="11" spans="1:9" x14ac:dyDescent="0.25">
      <c r="A11" s="4" t="s">
        <v>48</v>
      </c>
      <c r="B11" s="2">
        <v>450000</v>
      </c>
      <c r="C11" s="2">
        <v>444634</v>
      </c>
      <c r="D11" s="2">
        <v>180000</v>
      </c>
      <c r="E11" s="2">
        <v>173369</v>
      </c>
      <c r="F11" s="2">
        <v>360000</v>
      </c>
      <c r="G11" s="2">
        <v>357224</v>
      </c>
      <c r="H11" s="2">
        <v>990000</v>
      </c>
      <c r="I11" s="2">
        <v>975227</v>
      </c>
    </row>
    <row r="12" spans="1:9" x14ac:dyDescent="0.25">
      <c r="A12" s="4" t="s">
        <v>135</v>
      </c>
      <c r="B12" s="2">
        <v>2210000</v>
      </c>
      <c r="C12" s="2">
        <v>2172652</v>
      </c>
      <c r="D12" s="2">
        <v>1510000</v>
      </c>
      <c r="E12" s="2">
        <v>1490636</v>
      </c>
      <c r="F12" s="2">
        <v>590000</v>
      </c>
      <c r="G12" s="2">
        <v>590706</v>
      </c>
      <c r="H12" s="2">
        <v>4310000</v>
      </c>
      <c r="I12" s="2">
        <v>4253994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0"/>
  <sheetViews>
    <sheetView tabSelected="1" workbookViewId="0">
      <selection activeCell="F89" sqref="F89"/>
    </sheetView>
  </sheetViews>
  <sheetFormatPr defaultRowHeight="15" x14ac:dyDescent="0.25"/>
  <cols>
    <col min="2" max="2" width="10" customWidth="1"/>
    <col min="3" max="3" width="8.5703125" customWidth="1"/>
    <col min="4" max="4" width="14.28515625" customWidth="1"/>
    <col min="5" max="5" width="10.85546875" customWidth="1"/>
    <col min="6" max="6" width="9.5703125" customWidth="1"/>
    <col min="10" max="10" width="10.28515625" customWidth="1"/>
    <col min="11" max="11" width="13.85546875" customWidth="1"/>
    <col min="12" max="12" width="11.7109375" customWidth="1"/>
    <col min="15" max="15" width="9.7109375" customWidth="1"/>
    <col min="16" max="16" width="12.42578125" customWidth="1"/>
    <col min="18" max="18" width="12.28515625" customWidth="1"/>
  </cols>
  <sheetData>
    <row r="1" spans="1:18" ht="28.5" x14ac:dyDescent="0.45">
      <c r="F1" s="1" t="s">
        <v>0</v>
      </c>
    </row>
    <row r="2" spans="1:18" x14ac:dyDescent="0.25">
      <c r="A2" s="5" t="s">
        <v>1</v>
      </c>
      <c r="B2" s="5" t="s">
        <v>2</v>
      </c>
      <c r="C2" s="5" t="s">
        <v>132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</row>
    <row r="3" spans="1:18" x14ac:dyDescent="0.25">
      <c r="A3" s="30">
        <v>5001</v>
      </c>
      <c r="B3" s="30" t="s">
        <v>18</v>
      </c>
      <c r="C3" s="30">
        <v>739252</v>
      </c>
      <c r="D3" s="30" t="s">
        <v>19</v>
      </c>
      <c r="E3" s="30" t="s">
        <v>20</v>
      </c>
      <c r="F3" s="30" t="s">
        <v>21</v>
      </c>
      <c r="G3" s="30" t="s">
        <v>22</v>
      </c>
      <c r="H3" s="30">
        <v>2</v>
      </c>
      <c r="I3" s="30">
        <v>45000</v>
      </c>
      <c r="J3" s="30">
        <f>H3*I3</f>
        <v>90000</v>
      </c>
      <c r="K3" s="30" t="s">
        <v>23</v>
      </c>
      <c r="L3" s="30" t="s">
        <v>24</v>
      </c>
      <c r="M3" s="30">
        <v>1</v>
      </c>
      <c r="N3" s="30">
        <v>2025</v>
      </c>
      <c r="O3" s="30">
        <v>1</v>
      </c>
      <c r="P3" s="30">
        <v>3401</v>
      </c>
      <c r="Q3" s="30">
        <v>691</v>
      </c>
      <c r="R3" s="30">
        <f>J3-(J3*O3/100)+P3+Q3</f>
        <v>93192</v>
      </c>
    </row>
    <row r="4" spans="1:18" x14ac:dyDescent="0.25">
      <c r="A4" s="30">
        <v>5002</v>
      </c>
      <c r="B4" s="30" t="s">
        <v>25</v>
      </c>
      <c r="C4" s="30">
        <v>739253</v>
      </c>
      <c r="D4" s="30" t="s">
        <v>26</v>
      </c>
      <c r="E4" s="30" t="s">
        <v>20</v>
      </c>
      <c r="F4" s="30" t="s">
        <v>27</v>
      </c>
      <c r="G4" s="30" t="s">
        <v>28</v>
      </c>
      <c r="H4" s="30">
        <v>5</v>
      </c>
      <c r="I4" s="30">
        <v>35000</v>
      </c>
      <c r="J4" s="30">
        <f t="shared" ref="J4:J67" si="0">H4*I4</f>
        <v>175000</v>
      </c>
      <c r="K4" s="30" t="s">
        <v>29</v>
      </c>
      <c r="L4" s="30" t="s">
        <v>24</v>
      </c>
      <c r="M4" s="30">
        <v>1</v>
      </c>
      <c r="N4" s="30">
        <v>2025</v>
      </c>
      <c r="O4" s="30">
        <v>1</v>
      </c>
      <c r="P4" s="30">
        <v>574</v>
      </c>
      <c r="Q4" s="30">
        <v>649</v>
      </c>
      <c r="R4" s="30">
        <f t="shared" ref="R4:R67" si="1">J4-(J4*O4/100)+P4+Q4</f>
        <v>174473</v>
      </c>
    </row>
    <row r="5" spans="1:18" x14ac:dyDescent="0.25">
      <c r="A5" s="30">
        <v>5003</v>
      </c>
      <c r="B5" s="30" t="s">
        <v>30</v>
      </c>
      <c r="C5" s="30">
        <v>739254</v>
      </c>
      <c r="D5" s="30" t="s">
        <v>26</v>
      </c>
      <c r="E5" s="30" t="s">
        <v>31</v>
      </c>
      <c r="F5" s="30" t="s">
        <v>21</v>
      </c>
      <c r="G5" s="30" t="s">
        <v>28</v>
      </c>
      <c r="H5" s="30">
        <v>4</v>
      </c>
      <c r="I5" s="30">
        <v>35000</v>
      </c>
      <c r="J5" s="30">
        <f t="shared" si="0"/>
        <v>140000</v>
      </c>
      <c r="K5" s="30" t="s">
        <v>29</v>
      </c>
      <c r="L5" s="30" t="s">
        <v>32</v>
      </c>
      <c r="M5" s="30">
        <v>1</v>
      </c>
      <c r="N5" s="30">
        <v>2025</v>
      </c>
      <c r="O5" s="30">
        <v>8</v>
      </c>
      <c r="P5" s="30">
        <v>3941</v>
      </c>
      <c r="Q5" s="30">
        <v>1153</v>
      </c>
      <c r="R5" s="30">
        <f t="shared" si="1"/>
        <v>133894</v>
      </c>
    </row>
    <row r="6" spans="1:18" x14ac:dyDescent="0.25">
      <c r="A6" s="30">
        <v>5004</v>
      </c>
      <c r="B6" s="30" t="s">
        <v>33</v>
      </c>
      <c r="C6" s="30">
        <v>739255</v>
      </c>
      <c r="D6" s="30" t="s">
        <v>34</v>
      </c>
      <c r="E6" s="30" t="s">
        <v>35</v>
      </c>
      <c r="F6" s="30" t="s">
        <v>21</v>
      </c>
      <c r="G6" s="30" t="s">
        <v>28</v>
      </c>
      <c r="H6" s="30">
        <v>2</v>
      </c>
      <c r="I6" s="30">
        <v>35000</v>
      </c>
      <c r="J6" s="30">
        <f t="shared" si="0"/>
        <v>70000</v>
      </c>
      <c r="K6" s="30" t="s">
        <v>23</v>
      </c>
      <c r="L6" s="30" t="s">
        <v>24</v>
      </c>
      <c r="M6" s="30">
        <v>1</v>
      </c>
      <c r="N6" s="30">
        <v>2025</v>
      </c>
      <c r="O6" s="30">
        <v>5</v>
      </c>
      <c r="P6" s="30">
        <v>2258</v>
      </c>
      <c r="Q6" s="30">
        <v>424</v>
      </c>
      <c r="R6" s="30">
        <f t="shared" si="1"/>
        <v>69182</v>
      </c>
    </row>
    <row r="7" spans="1:18" x14ac:dyDescent="0.25">
      <c r="A7" s="30">
        <v>5005</v>
      </c>
      <c r="B7" s="30" t="s">
        <v>36</v>
      </c>
      <c r="C7" s="30">
        <v>739256</v>
      </c>
      <c r="D7" s="30" t="s">
        <v>19</v>
      </c>
      <c r="E7" s="30" t="s">
        <v>20</v>
      </c>
      <c r="F7" s="30" t="s">
        <v>27</v>
      </c>
      <c r="G7" s="30" t="s">
        <v>37</v>
      </c>
      <c r="H7" s="30">
        <v>1</v>
      </c>
      <c r="I7" s="30">
        <v>120000</v>
      </c>
      <c r="J7" s="30">
        <f t="shared" si="0"/>
        <v>120000</v>
      </c>
      <c r="K7" s="30" t="s">
        <v>29</v>
      </c>
      <c r="L7" s="30" t="s">
        <v>32</v>
      </c>
      <c r="M7" s="30">
        <v>1</v>
      </c>
      <c r="N7" s="30">
        <v>2025</v>
      </c>
      <c r="O7" s="30">
        <v>9</v>
      </c>
      <c r="P7" s="30">
        <v>4898</v>
      </c>
      <c r="Q7" s="30">
        <v>1100</v>
      </c>
      <c r="R7" s="30">
        <f t="shared" si="1"/>
        <v>115198</v>
      </c>
    </row>
    <row r="8" spans="1:18" x14ac:dyDescent="0.25">
      <c r="A8" s="30">
        <v>5006</v>
      </c>
      <c r="B8" s="30" t="s">
        <v>38</v>
      </c>
      <c r="C8" s="30">
        <v>739257</v>
      </c>
      <c r="D8" s="30" t="s">
        <v>34</v>
      </c>
      <c r="E8" s="30" t="s">
        <v>35</v>
      </c>
      <c r="F8" s="30" t="s">
        <v>39</v>
      </c>
      <c r="G8" s="30" t="s">
        <v>28</v>
      </c>
      <c r="H8" s="30">
        <v>2</v>
      </c>
      <c r="I8" s="30">
        <v>35000</v>
      </c>
      <c r="J8" s="30">
        <f t="shared" si="0"/>
        <v>70000</v>
      </c>
      <c r="K8" s="30" t="s">
        <v>40</v>
      </c>
      <c r="L8" s="30" t="s">
        <v>24</v>
      </c>
      <c r="M8" s="30">
        <v>1</v>
      </c>
      <c r="N8" s="30">
        <v>2025</v>
      </c>
      <c r="O8" s="30">
        <v>4</v>
      </c>
      <c r="P8" s="30">
        <v>4147</v>
      </c>
      <c r="Q8" s="30">
        <v>1516</v>
      </c>
      <c r="R8" s="30">
        <f t="shared" si="1"/>
        <v>72863</v>
      </c>
    </row>
    <row r="9" spans="1:18" x14ac:dyDescent="0.25">
      <c r="A9" s="30">
        <v>5007</v>
      </c>
      <c r="B9" s="31">
        <v>45839</v>
      </c>
      <c r="C9" s="30">
        <v>739258</v>
      </c>
      <c r="D9" s="30" t="s">
        <v>41</v>
      </c>
      <c r="E9" s="30" t="s">
        <v>35</v>
      </c>
      <c r="F9" s="30" t="s">
        <v>27</v>
      </c>
      <c r="G9" s="30" t="s">
        <v>37</v>
      </c>
      <c r="H9" s="30">
        <v>2</v>
      </c>
      <c r="I9" s="30">
        <v>120000</v>
      </c>
      <c r="J9" s="30">
        <f t="shared" si="0"/>
        <v>240000</v>
      </c>
      <c r="K9" s="30" t="s">
        <v>29</v>
      </c>
      <c r="L9" s="30" t="s">
        <v>32</v>
      </c>
      <c r="M9" s="30">
        <v>1</v>
      </c>
      <c r="N9" s="30">
        <v>2025</v>
      </c>
      <c r="O9" s="30">
        <v>1</v>
      </c>
      <c r="P9" s="30">
        <v>4225</v>
      </c>
      <c r="Q9" s="30">
        <v>1637</v>
      </c>
      <c r="R9" s="30">
        <f t="shared" si="1"/>
        <v>243462</v>
      </c>
    </row>
    <row r="10" spans="1:18" x14ac:dyDescent="0.25">
      <c r="A10" s="30">
        <v>5008</v>
      </c>
      <c r="B10" s="30" t="s">
        <v>42</v>
      </c>
      <c r="C10" s="30">
        <v>739259</v>
      </c>
      <c r="D10" s="30" t="s">
        <v>43</v>
      </c>
      <c r="E10" s="30" t="s">
        <v>44</v>
      </c>
      <c r="F10" s="30" t="s">
        <v>39</v>
      </c>
      <c r="G10" s="30" t="s">
        <v>37</v>
      </c>
      <c r="H10" s="30">
        <v>2</v>
      </c>
      <c r="I10" s="30">
        <v>120000</v>
      </c>
      <c r="J10" s="30">
        <f t="shared" si="0"/>
        <v>240000</v>
      </c>
      <c r="K10" s="30" t="s">
        <v>23</v>
      </c>
      <c r="L10" s="30" t="s">
        <v>32</v>
      </c>
      <c r="M10" s="30">
        <v>1</v>
      </c>
      <c r="N10" s="30">
        <v>2025</v>
      </c>
      <c r="O10" s="30">
        <v>6</v>
      </c>
      <c r="P10" s="30">
        <v>1726</v>
      </c>
      <c r="Q10" s="30">
        <v>698</v>
      </c>
      <c r="R10" s="30">
        <f t="shared" si="1"/>
        <v>228024</v>
      </c>
    </row>
    <row r="11" spans="1:18" x14ac:dyDescent="0.25">
      <c r="A11" s="30">
        <v>5009</v>
      </c>
      <c r="B11" s="30" t="s">
        <v>45</v>
      </c>
      <c r="C11" s="30">
        <v>739260</v>
      </c>
      <c r="D11" s="30" t="s">
        <v>46</v>
      </c>
      <c r="E11" s="30" t="s">
        <v>44</v>
      </c>
      <c r="F11" s="30" t="s">
        <v>21</v>
      </c>
      <c r="G11" s="30" t="s">
        <v>22</v>
      </c>
      <c r="H11" s="30">
        <v>1</v>
      </c>
      <c r="I11" s="30">
        <v>45000</v>
      </c>
      <c r="J11" s="30">
        <f t="shared" si="0"/>
        <v>45000</v>
      </c>
      <c r="K11" s="30" t="s">
        <v>23</v>
      </c>
      <c r="L11" s="30" t="s">
        <v>24</v>
      </c>
      <c r="M11" s="30">
        <v>1</v>
      </c>
      <c r="N11" s="30">
        <v>2025</v>
      </c>
      <c r="O11" s="30">
        <v>10</v>
      </c>
      <c r="P11" s="30">
        <v>1829</v>
      </c>
      <c r="Q11" s="30">
        <v>583</v>
      </c>
      <c r="R11" s="30">
        <f t="shared" si="1"/>
        <v>42912</v>
      </c>
    </row>
    <row r="12" spans="1:18" x14ac:dyDescent="0.25">
      <c r="A12" s="30">
        <v>5010</v>
      </c>
      <c r="B12" s="30" t="s">
        <v>47</v>
      </c>
      <c r="C12" s="30">
        <v>739261</v>
      </c>
      <c r="D12" s="30" t="s">
        <v>43</v>
      </c>
      <c r="E12" s="30" t="s">
        <v>35</v>
      </c>
      <c r="F12" s="30" t="s">
        <v>39</v>
      </c>
      <c r="G12" s="30" t="s">
        <v>48</v>
      </c>
      <c r="H12" s="30">
        <v>4</v>
      </c>
      <c r="I12" s="30">
        <v>30000</v>
      </c>
      <c r="J12" s="30">
        <f t="shared" si="0"/>
        <v>120000</v>
      </c>
      <c r="K12" s="30" t="s">
        <v>23</v>
      </c>
      <c r="L12" s="30" t="s">
        <v>24</v>
      </c>
      <c r="M12" s="30">
        <v>1</v>
      </c>
      <c r="N12" s="30">
        <v>2025</v>
      </c>
      <c r="O12" s="30">
        <v>2</v>
      </c>
      <c r="P12" s="30">
        <v>4098</v>
      </c>
      <c r="Q12" s="30">
        <v>431</v>
      </c>
      <c r="R12" s="30">
        <f t="shared" si="1"/>
        <v>122129</v>
      </c>
    </row>
    <row r="13" spans="1:18" x14ac:dyDescent="0.25">
      <c r="A13" s="30">
        <v>5011</v>
      </c>
      <c r="B13" s="30" t="s">
        <v>49</v>
      </c>
      <c r="C13" s="30">
        <v>739262</v>
      </c>
      <c r="D13" s="30" t="s">
        <v>19</v>
      </c>
      <c r="E13" s="30" t="s">
        <v>20</v>
      </c>
      <c r="F13" s="30" t="s">
        <v>27</v>
      </c>
      <c r="G13" s="30" t="s">
        <v>48</v>
      </c>
      <c r="H13" s="30">
        <v>2</v>
      </c>
      <c r="I13" s="30">
        <v>30000</v>
      </c>
      <c r="J13" s="30">
        <f t="shared" si="0"/>
        <v>60000</v>
      </c>
      <c r="K13" s="30" t="s">
        <v>29</v>
      </c>
      <c r="L13" s="30" t="s">
        <v>24</v>
      </c>
      <c r="M13" s="30">
        <v>1</v>
      </c>
      <c r="N13" s="30">
        <v>2025</v>
      </c>
      <c r="O13" s="30">
        <v>9</v>
      </c>
      <c r="P13" s="30">
        <v>536</v>
      </c>
      <c r="Q13" s="30">
        <v>232</v>
      </c>
      <c r="R13" s="30">
        <f t="shared" si="1"/>
        <v>55368</v>
      </c>
    </row>
    <row r="14" spans="1:18" x14ac:dyDescent="0.25">
      <c r="A14" s="30">
        <v>5012</v>
      </c>
      <c r="B14" s="30" t="s">
        <v>50</v>
      </c>
      <c r="C14" s="30">
        <v>739263</v>
      </c>
      <c r="D14" s="30" t="s">
        <v>43</v>
      </c>
      <c r="E14" s="30" t="s">
        <v>44</v>
      </c>
      <c r="F14" s="30" t="s">
        <v>39</v>
      </c>
      <c r="G14" s="30" t="s">
        <v>28</v>
      </c>
      <c r="H14" s="30">
        <v>2</v>
      </c>
      <c r="I14" s="30">
        <v>35000</v>
      </c>
      <c r="J14" s="30">
        <f t="shared" si="0"/>
        <v>70000</v>
      </c>
      <c r="K14" s="30" t="s">
        <v>29</v>
      </c>
      <c r="L14" s="30" t="s">
        <v>24</v>
      </c>
      <c r="M14" s="30">
        <v>1</v>
      </c>
      <c r="N14" s="30">
        <v>2025</v>
      </c>
      <c r="O14" s="30">
        <v>0</v>
      </c>
      <c r="P14" s="30">
        <v>3592</v>
      </c>
      <c r="Q14" s="30">
        <v>1015</v>
      </c>
      <c r="R14" s="30">
        <f t="shared" si="1"/>
        <v>74607</v>
      </c>
    </row>
    <row r="15" spans="1:18" x14ac:dyDescent="0.25">
      <c r="A15" s="30">
        <v>5013</v>
      </c>
      <c r="B15" s="30" t="s">
        <v>51</v>
      </c>
      <c r="C15" s="30">
        <v>739264</v>
      </c>
      <c r="D15" s="30" t="s">
        <v>26</v>
      </c>
      <c r="E15" s="30" t="s">
        <v>20</v>
      </c>
      <c r="F15" s="30" t="s">
        <v>52</v>
      </c>
      <c r="G15" s="30" t="s">
        <v>48</v>
      </c>
      <c r="H15" s="30">
        <v>4</v>
      </c>
      <c r="I15" s="30">
        <v>30000</v>
      </c>
      <c r="J15" s="30">
        <f t="shared" si="0"/>
        <v>120000</v>
      </c>
      <c r="K15" s="30" t="s">
        <v>40</v>
      </c>
      <c r="L15" s="30" t="s">
        <v>32</v>
      </c>
      <c r="M15" s="30">
        <v>1</v>
      </c>
      <c r="N15" s="30">
        <v>2025</v>
      </c>
      <c r="O15" s="30">
        <v>6</v>
      </c>
      <c r="P15" s="30">
        <v>2451</v>
      </c>
      <c r="Q15" s="30">
        <v>1813</v>
      </c>
      <c r="R15" s="30">
        <f t="shared" si="1"/>
        <v>117064</v>
      </c>
    </row>
    <row r="16" spans="1:18" x14ac:dyDescent="0.25">
      <c r="A16" s="30">
        <v>5014</v>
      </c>
      <c r="B16" s="30" t="s">
        <v>53</v>
      </c>
      <c r="C16" s="30">
        <v>739265</v>
      </c>
      <c r="D16" s="30" t="s">
        <v>43</v>
      </c>
      <c r="E16" s="30" t="s">
        <v>31</v>
      </c>
      <c r="F16" s="30" t="s">
        <v>39</v>
      </c>
      <c r="G16" s="30" t="s">
        <v>37</v>
      </c>
      <c r="H16" s="30">
        <v>1</v>
      </c>
      <c r="I16" s="30">
        <v>120000</v>
      </c>
      <c r="J16" s="30">
        <f t="shared" si="0"/>
        <v>120000</v>
      </c>
      <c r="K16" s="30" t="s">
        <v>23</v>
      </c>
      <c r="L16" s="30" t="s">
        <v>24</v>
      </c>
      <c r="M16" s="30">
        <v>1</v>
      </c>
      <c r="N16" s="30">
        <v>2025</v>
      </c>
      <c r="O16" s="30">
        <v>0</v>
      </c>
      <c r="P16" s="30">
        <v>1479</v>
      </c>
      <c r="Q16" s="30">
        <v>947</v>
      </c>
      <c r="R16" s="30">
        <f t="shared" si="1"/>
        <v>122426</v>
      </c>
    </row>
    <row r="17" spans="1:18" x14ac:dyDescent="0.25">
      <c r="A17" s="30">
        <v>5015</v>
      </c>
      <c r="B17" s="30" t="s">
        <v>54</v>
      </c>
      <c r="C17" s="30">
        <v>739266</v>
      </c>
      <c r="D17" s="30" t="s">
        <v>19</v>
      </c>
      <c r="E17" s="30" t="s">
        <v>31</v>
      </c>
      <c r="F17" s="30" t="s">
        <v>27</v>
      </c>
      <c r="G17" s="30" t="s">
        <v>37</v>
      </c>
      <c r="H17" s="30">
        <v>5</v>
      </c>
      <c r="I17" s="30">
        <v>120000</v>
      </c>
      <c r="J17" s="30">
        <f t="shared" si="0"/>
        <v>600000</v>
      </c>
      <c r="K17" s="30" t="s">
        <v>40</v>
      </c>
      <c r="L17" s="30" t="s">
        <v>32</v>
      </c>
      <c r="M17" s="30">
        <v>1</v>
      </c>
      <c r="N17" s="30">
        <v>2025</v>
      </c>
      <c r="O17" s="30">
        <v>3</v>
      </c>
      <c r="P17" s="30">
        <v>382</v>
      </c>
      <c r="Q17" s="30">
        <v>1618</v>
      </c>
      <c r="R17" s="30">
        <f t="shared" si="1"/>
        <v>584000</v>
      </c>
    </row>
    <row r="18" spans="1:18" x14ac:dyDescent="0.25">
      <c r="A18" s="30">
        <v>5016</v>
      </c>
      <c r="B18" s="30" t="s">
        <v>55</v>
      </c>
      <c r="C18" s="30">
        <v>739267</v>
      </c>
      <c r="D18" s="30" t="s">
        <v>46</v>
      </c>
      <c r="E18" s="30" t="s">
        <v>31</v>
      </c>
      <c r="F18" s="30" t="s">
        <v>21</v>
      </c>
      <c r="G18" s="30" t="s">
        <v>37</v>
      </c>
      <c r="H18" s="30">
        <v>2</v>
      </c>
      <c r="I18" s="30">
        <v>120000</v>
      </c>
      <c r="J18" s="30">
        <f t="shared" si="0"/>
        <v>240000</v>
      </c>
      <c r="K18" s="30" t="s">
        <v>40</v>
      </c>
      <c r="L18" s="30" t="s">
        <v>24</v>
      </c>
      <c r="M18" s="30">
        <v>1</v>
      </c>
      <c r="N18" s="30">
        <v>2025</v>
      </c>
      <c r="O18" s="30">
        <v>3</v>
      </c>
      <c r="P18" s="30">
        <v>4075</v>
      </c>
      <c r="Q18" s="30">
        <v>157</v>
      </c>
      <c r="R18" s="30">
        <f t="shared" si="1"/>
        <v>237032</v>
      </c>
    </row>
    <row r="19" spans="1:18" x14ac:dyDescent="0.25">
      <c r="A19" s="30">
        <v>5017</v>
      </c>
      <c r="B19" s="30" t="s">
        <v>56</v>
      </c>
      <c r="C19" s="30">
        <v>739268</v>
      </c>
      <c r="D19" s="30" t="s">
        <v>46</v>
      </c>
      <c r="E19" s="30" t="s">
        <v>44</v>
      </c>
      <c r="F19" s="30" t="s">
        <v>21</v>
      </c>
      <c r="G19" s="30" t="s">
        <v>57</v>
      </c>
      <c r="H19" s="30">
        <v>1</v>
      </c>
      <c r="I19" s="30">
        <v>40000</v>
      </c>
      <c r="J19" s="30">
        <f t="shared" si="0"/>
        <v>40000</v>
      </c>
      <c r="K19" s="30" t="s">
        <v>40</v>
      </c>
      <c r="L19" s="30" t="s">
        <v>24</v>
      </c>
      <c r="M19" s="30">
        <v>1</v>
      </c>
      <c r="N19" s="30">
        <v>2025</v>
      </c>
      <c r="O19" s="30">
        <v>2</v>
      </c>
      <c r="P19" s="30">
        <v>761</v>
      </c>
      <c r="Q19" s="30">
        <v>438</v>
      </c>
      <c r="R19" s="30">
        <f t="shared" si="1"/>
        <v>40399</v>
      </c>
    </row>
    <row r="20" spans="1:18" x14ac:dyDescent="0.25">
      <c r="A20" s="30">
        <v>5018</v>
      </c>
      <c r="B20" s="30" t="s">
        <v>58</v>
      </c>
      <c r="C20" s="30">
        <v>739269</v>
      </c>
      <c r="D20" s="30" t="s">
        <v>46</v>
      </c>
      <c r="E20" s="30" t="s">
        <v>35</v>
      </c>
      <c r="F20" s="30" t="s">
        <v>27</v>
      </c>
      <c r="G20" s="30" t="s">
        <v>22</v>
      </c>
      <c r="H20" s="30">
        <v>4</v>
      </c>
      <c r="I20" s="30">
        <v>45000</v>
      </c>
      <c r="J20" s="30">
        <f t="shared" si="0"/>
        <v>180000</v>
      </c>
      <c r="K20" s="30" t="s">
        <v>29</v>
      </c>
      <c r="L20" s="30" t="s">
        <v>24</v>
      </c>
      <c r="M20" s="30">
        <v>1</v>
      </c>
      <c r="N20" s="30">
        <v>2025</v>
      </c>
      <c r="O20" s="30">
        <v>4</v>
      </c>
      <c r="P20" s="30">
        <v>4623</v>
      </c>
      <c r="Q20" s="30">
        <v>747</v>
      </c>
      <c r="R20" s="30">
        <f t="shared" si="1"/>
        <v>178170</v>
      </c>
    </row>
    <row r="21" spans="1:18" x14ac:dyDescent="0.25">
      <c r="A21" s="30">
        <v>5019</v>
      </c>
      <c r="B21" s="30" t="s">
        <v>59</v>
      </c>
      <c r="C21" s="30">
        <v>739270</v>
      </c>
      <c r="D21" s="30" t="s">
        <v>34</v>
      </c>
      <c r="E21" s="30" t="s">
        <v>31</v>
      </c>
      <c r="F21" s="30" t="s">
        <v>39</v>
      </c>
      <c r="G21" s="30" t="s">
        <v>37</v>
      </c>
      <c r="H21" s="30">
        <v>3</v>
      </c>
      <c r="I21" s="30">
        <v>120000</v>
      </c>
      <c r="J21" s="30">
        <f t="shared" si="0"/>
        <v>360000</v>
      </c>
      <c r="K21" s="30" t="s">
        <v>40</v>
      </c>
      <c r="L21" s="30" t="s">
        <v>24</v>
      </c>
      <c r="M21" s="30">
        <v>1</v>
      </c>
      <c r="N21" s="30">
        <v>2025</v>
      </c>
      <c r="O21" s="30">
        <v>5</v>
      </c>
      <c r="P21" s="30">
        <v>3067</v>
      </c>
      <c r="Q21" s="30">
        <v>75</v>
      </c>
      <c r="R21" s="30">
        <f t="shared" si="1"/>
        <v>345142</v>
      </c>
    </row>
    <row r="22" spans="1:18" x14ac:dyDescent="0.25">
      <c r="A22" s="30">
        <v>5020</v>
      </c>
      <c r="B22" s="30" t="s">
        <v>60</v>
      </c>
      <c r="C22" s="30">
        <v>739271</v>
      </c>
      <c r="D22" s="30" t="s">
        <v>43</v>
      </c>
      <c r="E22" s="30" t="s">
        <v>44</v>
      </c>
      <c r="F22" s="30" t="s">
        <v>21</v>
      </c>
      <c r="G22" s="30" t="s">
        <v>28</v>
      </c>
      <c r="H22" s="30">
        <v>1</v>
      </c>
      <c r="I22" s="30">
        <v>35000</v>
      </c>
      <c r="J22" s="30">
        <f t="shared" si="0"/>
        <v>35000</v>
      </c>
      <c r="K22" s="30" t="s">
        <v>23</v>
      </c>
      <c r="L22" s="30" t="s">
        <v>24</v>
      </c>
      <c r="M22" s="30">
        <v>1</v>
      </c>
      <c r="N22" s="30">
        <v>2025</v>
      </c>
      <c r="O22" s="30">
        <v>8</v>
      </c>
      <c r="P22" s="30">
        <v>2960</v>
      </c>
      <c r="Q22" s="30">
        <v>1552</v>
      </c>
      <c r="R22" s="30">
        <f t="shared" si="1"/>
        <v>36712</v>
      </c>
    </row>
    <row r="23" spans="1:18" x14ac:dyDescent="0.25">
      <c r="A23" s="30">
        <v>5021</v>
      </c>
      <c r="B23" s="30" t="s">
        <v>61</v>
      </c>
      <c r="C23" s="30">
        <v>739272</v>
      </c>
      <c r="D23" s="30" t="s">
        <v>46</v>
      </c>
      <c r="E23" s="30" t="s">
        <v>35</v>
      </c>
      <c r="F23" s="30" t="s">
        <v>27</v>
      </c>
      <c r="G23" s="30" t="s">
        <v>48</v>
      </c>
      <c r="H23" s="30">
        <v>4</v>
      </c>
      <c r="I23" s="30">
        <v>30000</v>
      </c>
      <c r="J23" s="30">
        <f t="shared" si="0"/>
        <v>120000</v>
      </c>
      <c r="K23" s="30" t="s">
        <v>40</v>
      </c>
      <c r="L23" s="30" t="s">
        <v>24</v>
      </c>
      <c r="M23" s="30">
        <v>1</v>
      </c>
      <c r="N23" s="30">
        <v>2025</v>
      </c>
      <c r="O23" s="30">
        <v>0</v>
      </c>
      <c r="P23" s="30">
        <v>1890</v>
      </c>
      <c r="Q23" s="30">
        <v>1395</v>
      </c>
      <c r="R23" s="30">
        <f t="shared" si="1"/>
        <v>123285</v>
      </c>
    </row>
    <row r="24" spans="1:18" x14ac:dyDescent="0.25">
      <c r="A24" s="30">
        <v>5022</v>
      </c>
      <c r="B24" s="30" t="s">
        <v>62</v>
      </c>
      <c r="C24" s="30">
        <v>739273</v>
      </c>
      <c r="D24" s="30" t="s">
        <v>34</v>
      </c>
      <c r="E24" s="30" t="s">
        <v>44</v>
      </c>
      <c r="F24" s="30" t="s">
        <v>27</v>
      </c>
      <c r="G24" s="30" t="s">
        <v>37</v>
      </c>
      <c r="H24" s="30">
        <v>1</v>
      </c>
      <c r="I24" s="30">
        <v>120000</v>
      </c>
      <c r="J24" s="30">
        <f t="shared" si="0"/>
        <v>120000</v>
      </c>
      <c r="K24" s="30" t="s">
        <v>29</v>
      </c>
      <c r="L24" s="30" t="s">
        <v>24</v>
      </c>
      <c r="M24" s="30">
        <v>1</v>
      </c>
      <c r="N24" s="30">
        <v>2025</v>
      </c>
      <c r="O24" s="30">
        <v>7</v>
      </c>
      <c r="P24" s="30">
        <v>2851</v>
      </c>
      <c r="Q24" s="30">
        <v>546</v>
      </c>
      <c r="R24" s="30">
        <f t="shared" si="1"/>
        <v>114997</v>
      </c>
    </row>
    <row r="25" spans="1:18" x14ac:dyDescent="0.25">
      <c r="A25" s="30">
        <v>5023</v>
      </c>
      <c r="B25" s="30" t="s">
        <v>63</v>
      </c>
      <c r="C25" s="30">
        <v>739274</v>
      </c>
      <c r="D25" s="30" t="s">
        <v>26</v>
      </c>
      <c r="E25" s="30" t="s">
        <v>31</v>
      </c>
      <c r="F25" s="30" t="s">
        <v>27</v>
      </c>
      <c r="G25" s="30" t="s">
        <v>48</v>
      </c>
      <c r="H25" s="30">
        <v>4</v>
      </c>
      <c r="I25" s="30">
        <v>30000</v>
      </c>
      <c r="J25" s="30">
        <f t="shared" si="0"/>
        <v>120000</v>
      </c>
      <c r="K25" s="30" t="s">
        <v>40</v>
      </c>
      <c r="L25" s="30" t="s">
        <v>24</v>
      </c>
      <c r="M25" s="30">
        <v>1</v>
      </c>
      <c r="N25" s="30">
        <v>2025</v>
      </c>
      <c r="O25" s="30">
        <v>4</v>
      </c>
      <c r="P25" s="30">
        <v>3299</v>
      </c>
      <c r="Q25" s="30">
        <v>8</v>
      </c>
      <c r="R25" s="30">
        <f t="shared" si="1"/>
        <v>118507</v>
      </c>
    </row>
    <row r="26" spans="1:18" x14ac:dyDescent="0.25">
      <c r="A26" s="30">
        <v>5024</v>
      </c>
      <c r="B26" s="30" t="s">
        <v>64</v>
      </c>
      <c r="C26" s="30">
        <v>739275</v>
      </c>
      <c r="D26" s="30" t="s">
        <v>34</v>
      </c>
      <c r="E26" s="30" t="s">
        <v>35</v>
      </c>
      <c r="F26" s="30" t="s">
        <v>27</v>
      </c>
      <c r="G26" s="30" t="s">
        <v>37</v>
      </c>
      <c r="H26" s="30">
        <v>2</v>
      </c>
      <c r="I26" s="30">
        <v>120000</v>
      </c>
      <c r="J26" s="30">
        <f t="shared" si="0"/>
        <v>240000</v>
      </c>
      <c r="K26" s="30" t="s">
        <v>40</v>
      </c>
      <c r="L26" s="30" t="s">
        <v>32</v>
      </c>
      <c r="M26" s="30">
        <v>1</v>
      </c>
      <c r="N26" s="30">
        <v>2025</v>
      </c>
      <c r="O26" s="30">
        <v>1</v>
      </c>
      <c r="P26" s="30">
        <v>3144</v>
      </c>
      <c r="Q26" s="30">
        <v>1806</v>
      </c>
      <c r="R26" s="30">
        <f t="shared" si="1"/>
        <v>242550</v>
      </c>
    </row>
    <row r="27" spans="1:18" x14ac:dyDescent="0.25">
      <c r="A27" s="30">
        <v>5025</v>
      </c>
      <c r="B27" s="30" t="s">
        <v>65</v>
      </c>
      <c r="C27" s="30">
        <v>739276</v>
      </c>
      <c r="D27" s="30" t="s">
        <v>19</v>
      </c>
      <c r="E27" s="30" t="s">
        <v>35</v>
      </c>
      <c r="F27" s="30" t="s">
        <v>52</v>
      </c>
      <c r="G27" s="30" t="s">
        <v>48</v>
      </c>
      <c r="H27" s="30">
        <v>4</v>
      </c>
      <c r="I27" s="30">
        <v>30000</v>
      </c>
      <c r="J27" s="30">
        <f t="shared" si="0"/>
        <v>120000</v>
      </c>
      <c r="K27" s="30" t="s">
        <v>29</v>
      </c>
      <c r="L27" s="30" t="s">
        <v>32</v>
      </c>
      <c r="M27" s="30">
        <v>1</v>
      </c>
      <c r="N27" s="30">
        <v>2025</v>
      </c>
      <c r="O27" s="30">
        <v>3</v>
      </c>
      <c r="P27" s="30">
        <v>4972</v>
      </c>
      <c r="Q27" s="30">
        <v>1840</v>
      </c>
      <c r="R27" s="30">
        <f t="shared" si="1"/>
        <v>123212</v>
      </c>
    </row>
    <row r="28" spans="1:18" x14ac:dyDescent="0.25">
      <c r="A28" s="30">
        <v>5026</v>
      </c>
      <c r="B28" s="30" t="s">
        <v>66</v>
      </c>
      <c r="C28" s="30">
        <v>739277</v>
      </c>
      <c r="D28" s="30" t="s">
        <v>19</v>
      </c>
      <c r="E28" s="30" t="s">
        <v>44</v>
      </c>
      <c r="F28" s="30" t="s">
        <v>39</v>
      </c>
      <c r="G28" s="30" t="s">
        <v>28</v>
      </c>
      <c r="H28" s="30">
        <v>5</v>
      </c>
      <c r="I28" s="30">
        <v>35000</v>
      </c>
      <c r="J28" s="30">
        <f t="shared" si="0"/>
        <v>175000</v>
      </c>
      <c r="K28" s="30" t="s">
        <v>29</v>
      </c>
      <c r="L28" s="30" t="s">
        <v>32</v>
      </c>
      <c r="M28" s="30">
        <v>1</v>
      </c>
      <c r="N28" s="30">
        <v>2025</v>
      </c>
      <c r="O28" s="30">
        <v>8</v>
      </c>
      <c r="P28" s="30">
        <v>1785</v>
      </c>
      <c r="Q28" s="30">
        <v>1752</v>
      </c>
      <c r="R28" s="30">
        <f t="shared" si="1"/>
        <v>164537</v>
      </c>
    </row>
    <row r="29" spans="1:18" x14ac:dyDescent="0.25">
      <c r="A29" s="30">
        <v>5027</v>
      </c>
      <c r="B29" s="30" t="s">
        <v>67</v>
      </c>
      <c r="C29" s="30">
        <v>739278</v>
      </c>
      <c r="D29" s="30" t="s">
        <v>41</v>
      </c>
      <c r="E29" s="30" t="s">
        <v>31</v>
      </c>
      <c r="F29" s="30" t="s">
        <v>39</v>
      </c>
      <c r="G29" s="30" t="s">
        <v>48</v>
      </c>
      <c r="H29" s="30">
        <v>3</v>
      </c>
      <c r="I29" s="30">
        <v>30000</v>
      </c>
      <c r="J29" s="30">
        <f t="shared" si="0"/>
        <v>90000</v>
      </c>
      <c r="K29" s="30" t="s">
        <v>29</v>
      </c>
      <c r="L29" s="30" t="s">
        <v>32</v>
      </c>
      <c r="M29" s="30">
        <v>1</v>
      </c>
      <c r="N29" s="30">
        <v>2025</v>
      </c>
      <c r="O29" s="30">
        <v>4</v>
      </c>
      <c r="P29" s="30">
        <v>4228</v>
      </c>
      <c r="Q29" s="30">
        <v>714</v>
      </c>
      <c r="R29" s="30">
        <f t="shared" si="1"/>
        <v>91342</v>
      </c>
    </row>
    <row r="30" spans="1:18" x14ac:dyDescent="0.25">
      <c r="A30" s="30">
        <v>5028</v>
      </c>
      <c r="B30" s="30" t="s">
        <v>68</v>
      </c>
      <c r="C30" s="30">
        <v>739279</v>
      </c>
      <c r="D30" s="30" t="s">
        <v>19</v>
      </c>
      <c r="E30" s="30" t="s">
        <v>44</v>
      </c>
      <c r="F30" s="30" t="s">
        <v>27</v>
      </c>
      <c r="G30" s="30" t="s">
        <v>48</v>
      </c>
      <c r="H30" s="30">
        <v>3</v>
      </c>
      <c r="I30" s="30">
        <v>30000</v>
      </c>
      <c r="J30" s="30">
        <f t="shared" si="0"/>
        <v>90000</v>
      </c>
      <c r="K30" s="30" t="s">
        <v>40</v>
      </c>
      <c r="L30" s="30" t="s">
        <v>24</v>
      </c>
      <c r="M30" s="30">
        <v>1</v>
      </c>
      <c r="N30" s="30">
        <v>2025</v>
      </c>
      <c r="O30" s="30">
        <v>7</v>
      </c>
      <c r="P30" s="30">
        <v>1498</v>
      </c>
      <c r="Q30" s="30">
        <v>580</v>
      </c>
      <c r="R30" s="30">
        <f t="shared" si="1"/>
        <v>85778</v>
      </c>
    </row>
    <row r="31" spans="1:18" x14ac:dyDescent="0.25">
      <c r="A31" s="30">
        <v>5029</v>
      </c>
      <c r="B31" s="30" t="s">
        <v>69</v>
      </c>
      <c r="C31" s="30">
        <v>739280</v>
      </c>
      <c r="D31" s="30" t="s">
        <v>26</v>
      </c>
      <c r="E31" s="30" t="s">
        <v>44</v>
      </c>
      <c r="F31" s="30" t="s">
        <v>52</v>
      </c>
      <c r="G31" s="30" t="s">
        <v>22</v>
      </c>
      <c r="H31" s="30">
        <v>2</v>
      </c>
      <c r="I31" s="30">
        <v>45000</v>
      </c>
      <c r="J31" s="30">
        <f t="shared" si="0"/>
        <v>90000</v>
      </c>
      <c r="K31" s="30" t="s">
        <v>40</v>
      </c>
      <c r="L31" s="30" t="s">
        <v>24</v>
      </c>
      <c r="M31" s="30">
        <v>1</v>
      </c>
      <c r="N31" s="30">
        <v>2025</v>
      </c>
      <c r="O31" s="30">
        <v>5</v>
      </c>
      <c r="P31" s="30">
        <v>3256</v>
      </c>
      <c r="Q31" s="30">
        <v>875</v>
      </c>
      <c r="R31" s="30">
        <f t="shared" si="1"/>
        <v>89631</v>
      </c>
    </row>
    <row r="32" spans="1:18" x14ac:dyDescent="0.25">
      <c r="A32" s="30">
        <v>5030</v>
      </c>
      <c r="B32" s="30" t="s">
        <v>70</v>
      </c>
      <c r="C32" s="30">
        <v>739281</v>
      </c>
      <c r="D32" s="30" t="s">
        <v>19</v>
      </c>
      <c r="E32" s="30" t="s">
        <v>20</v>
      </c>
      <c r="F32" s="30" t="s">
        <v>21</v>
      </c>
      <c r="G32" s="30" t="s">
        <v>48</v>
      </c>
      <c r="H32" s="30">
        <v>4</v>
      </c>
      <c r="I32" s="30">
        <v>30000</v>
      </c>
      <c r="J32" s="30">
        <f t="shared" si="0"/>
        <v>120000</v>
      </c>
      <c r="K32" s="30" t="s">
        <v>29</v>
      </c>
      <c r="L32" s="30" t="s">
        <v>24</v>
      </c>
      <c r="M32" s="30">
        <v>1</v>
      </c>
      <c r="N32" s="30">
        <v>2025</v>
      </c>
      <c r="O32" s="30">
        <v>2</v>
      </c>
      <c r="P32" s="30">
        <v>3193</v>
      </c>
      <c r="Q32" s="30">
        <v>1600</v>
      </c>
      <c r="R32" s="30">
        <f t="shared" si="1"/>
        <v>122393</v>
      </c>
    </row>
    <row r="33" spans="1:18" x14ac:dyDescent="0.25">
      <c r="A33" s="30">
        <v>5031</v>
      </c>
      <c r="B33" s="30" t="s">
        <v>71</v>
      </c>
      <c r="C33" s="30">
        <v>739282</v>
      </c>
      <c r="D33" s="30" t="s">
        <v>26</v>
      </c>
      <c r="E33" s="30" t="s">
        <v>31</v>
      </c>
      <c r="F33" s="30" t="s">
        <v>21</v>
      </c>
      <c r="G33" s="30" t="s">
        <v>37</v>
      </c>
      <c r="H33" s="30">
        <v>1</v>
      </c>
      <c r="I33" s="30">
        <v>120000</v>
      </c>
      <c r="J33" s="30">
        <f t="shared" si="0"/>
        <v>120000</v>
      </c>
      <c r="K33" s="30" t="s">
        <v>40</v>
      </c>
      <c r="L33" s="30" t="s">
        <v>24</v>
      </c>
      <c r="M33" s="30">
        <v>1</v>
      </c>
      <c r="N33" s="30">
        <v>2025</v>
      </c>
      <c r="O33" s="30">
        <v>5</v>
      </c>
      <c r="P33" s="30">
        <v>2223</v>
      </c>
      <c r="Q33" s="30">
        <v>178</v>
      </c>
      <c r="R33" s="30">
        <f t="shared" si="1"/>
        <v>116401</v>
      </c>
    </row>
    <row r="34" spans="1:18" x14ac:dyDescent="0.25">
      <c r="A34" s="30">
        <v>5032</v>
      </c>
      <c r="B34" s="30" t="s">
        <v>72</v>
      </c>
      <c r="C34" s="30">
        <v>739283</v>
      </c>
      <c r="D34" s="30" t="s">
        <v>19</v>
      </c>
      <c r="E34" s="30" t="s">
        <v>31</v>
      </c>
      <c r="F34" s="30" t="s">
        <v>52</v>
      </c>
      <c r="G34" s="30" t="s">
        <v>57</v>
      </c>
      <c r="H34" s="30">
        <v>4</v>
      </c>
      <c r="I34" s="30">
        <v>40000</v>
      </c>
      <c r="J34" s="30">
        <f t="shared" si="0"/>
        <v>160000</v>
      </c>
      <c r="K34" s="30" t="s">
        <v>29</v>
      </c>
      <c r="L34" s="30" t="s">
        <v>24</v>
      </c>
      <c r="M34" s="30">
        <v>2</v>
      </c>
      <c r="N34" s="30">
        <v>2025</v>
      </c>
      <c r="O34" s="30">
        <v>9</v>
      </c>
      <c r="P34" s="30">
        <v>4703</v>
      </c>
      <c r="Q34" s="30">
        <v>452</v>
      </c>
      <c r="R34" s="30">
        <f t="shared" si="1"/>
        <v>150755</v>
      </c>
    </row>
    <row r="35" spans="1:18" x14ac:dyDescent="0.25">
      <c r="A35" s="30">
        <v>5033</v>
      </c>
      <c r="B35" s="30" t="s">
        <v>73</v>
      </c>
      <c r="C35" s="30">
        <v>739284</v>
      </c>
      <c r="D35" s="30" t="s">
        <v>41</v>
      </c>
      <c r="E35" s="30" t="s">
        <v>44</v>
      </c>
      <c r="F35" s="30" t="s">
        <v>39</v>
      </c>
      <c r="G35" s="30" t="s">
        <v>57</v>
      </c>
      <c r="H35" s="30">
        <v>3</v>
      </c>
      <c r="I35" s="30">
        <v>40000</v>
      </c>
      <c r="J35" s="30">
        <f t="shared" si="0"/>
        <v>120000</v>
      </c>
      <c r="K35" s="30" t="s">
        <v>29</v>
      </c>
      <c r="L35" s="30" t="s">
        <v>32</v>
      </c>
      <c r="M35" s="30">
        <v>2</v>
      </c>
      <c r="N35" s="30">
        <v>2025</v>
      </c>
      <c r="O35" s="30">
        <v>4</v>
      </c>
      <c r="P35" s="30">
        <v>4265</v>
      </c>
      <c r="Q35" s="30">
        <v>999</v>
      </c>
      <c r="R35" s="30">
        <f t="shared" si="1"/>
        <v>120464</v>
      </c>
    </row>
    <row r="36" spans="1:18" x14ac:dyDescent="0.25">
      <c r="A36" s="30">
        <v>5034</v>
      </c>
      <c r="B36" s="30" t="s">
        <v>74</v>
      </c>
      <c r="C36" s="30">
        <v>739285</v>
      </c>
      <c r="D36" s="30" t="s">
        <v>34</v>
      </c>
      <c r="E36" s="30" t="s">
        <v>20</v>
      </c>
      <c r="F36" s="30" t="s">
        <v>27</v>
      </c>
      <c r="G36" s="30" t="s">
        <v>37</v>
      </c>
      <c r="H36" s="30">
        <v>3</v>
      </c>
      <c r="I36" s="30">
        <v>120000</v>
      </c>
      <c r="J36" s="30">
        <f t="shared" si="0"/>
        <v>360000</v>
      </c>
      <c r="K36" s="30" t="s">
        <v>23</v>
      </c>
      <c r="L36" s="30" t="s">
        <v>24</v>
      </c>
      <c r="M36" s="30">
        <v>2</v>
      </c>
      <c r="N36" s="30">
        <v>2025</v>
      </c>
      <c r="O36" s="30">
        <v>3</v>
      </c>
      <c r="P36" s="30">
        <v>2892</v>
      </c>
      <c r="Q36" s="30">
        <v>1187</v>
      </c>
      <c r="R36" s="30">
        <f t="shared" si="1"/>
        <v>353279</v>
      </c>
    </row>
    <row r="37" spans="1:18" x14ac:dyDescent="0.25">
      <c r="A37" s="30">
        <v>5035</v>
      </c>
      <c r="B37" s="30" t="s">
        <v>75</v>
      </c>
      <c r="C37" s="30">
        <v>739286</v>
      </c>
      <c r="D37" s="30" t="s">
        <v>34</v>
      </c>
      <c r="E37" s="30" t="s">
        <v>35</v>
      </c>
      <c r="F37" s="30" t="s">
        <v>27</v>
      </c>
      <c r="G37" s="30" t="s">
        <v>22</v>
      </c>
      <c r="H37" s="30">
        <v>5</v>
      </c>
      <c r="I37" s="30">
        <v>45000</v>
      </c>
      <c r="J37" s="30">
        <f t="shared" si="0"/>
        <v>225000</v>
      </c>
      <c r="K37" s="30" t="s">
        <v>29</v>
      </c>
      <c r="L37" s="30" t="s">
        <v>24</v>
      </c>
      <c r="M37" s="30">
        <v>2</v>
      </c>
      <c r="N37" s="30">
        <v>2025</v>
      </c>
      <c r="O37" s="30">
        <v>7</v>
      </c>
      <c r="P37" s="30">
        <v>2508</v>
      </c>
      <c r="Q37" s="30">
        <v>824</v>
      </c>
      <c r="R37" s="30">
        <f t="shared" si="1"/>
        <v>212582</v>
      </c>
    </row>
    <row r="38" spans="1:18" x14ac:dyDescent="0.25">
      <c r="A38" s="30">
        <v>5036</v>
      </c>
      <c r="B38" s="30" t="s">
        <v>76</v>
      </c>
      <c r="C38" s="30">
        <v>739287</v>
      </c>
      <c r="D38" s="30" t="s">
        <v>26</v>
      </c>
      <c r="E38" s="30" t="s">
        <v>20</v>
      </c>
      <c r="F38" s="30" t="s">
        <v>39</v>
      </c>
      <c r="G38" s="30" t="s">
        <v>22</v>
      </c>
      <c r="H38" s="30">
        <v>2</v>
      </c>
      <c r="I38" s="30">
        <v>45000</v>
      </c>
      <c r="J38" s="30">
        <f t="shared" si="0"/>
        <v>90000</v>
      </c>
      <c r="K38" s="30" t="s">
        <v>23</v>
      </c>
      <c r="L38" s="30" t="s">
        <v>32</v>
      </c>
      <c r="M38" s="30">
        <v>2</v>
      </c>
      <c r="N38" s="30">
        <v>2025</v>
      </c>
      <c r="O38" s="30">
        <v>1</v>
      </c>
      <c r="P38" s="30">
        <v>1200</v>
      </c>
      <c r="Q38" s="30">
        <v>1169</v>
      </c>
      <c r="R38" s="30">
        <f t="shared" si="1"/>
        <v>91469</v>
      </c>
    </row>
    <row r="39" spans="1:18" x14ac:dyDescent="0.25">
      <c r="A39" s="30">
        <v>5037</v>
      </c>
      <c r="B39" s="30" t="s">
        <v>77</v>
      </c>
      <c r="C39" s="30">
        <v>739288</v>
      </c>
      <c r="D39" s="30" t="s">
        <v>34</v>
      </c>
      <c r="E39" s="30" t="s">
        <v>31</v>
      </c>
      <c r="F39" s="30" t="s">
        <v>27</v>
      </c>
      <c r="G39" s="30" t="s">
        <v>28</v>
      </c>
      <c r="H39" s="30">
        <v>1</v>
      </c>
      <c r="I39" s="30">
        <v>35000</v>
      </c>
      <c r="J39" s="30">
        <f t="shared" si="0"/>
        <v>35000</v>
      </c>
      <c r="K39" s="30" t="s">
        <v>40</v>
      </c>
      <c r="L39" s="30" t="s">
        <v>24</v>
      </c>
      <c r="M39" s="30">
        <v>2</v>
      </c>
      <c r="N39" s="30">
        <v>2025</v>
      </c>
      <c r="O39" s="30">
        <v>7</v>
      </c>
      <c r="P39" s="30">
        <v>3750</v>
      </c>
      <c r="Q39" s="30">
        <v>330</v>
      </c>
      <c r="R39" s="30">
        <f t="shared" si="1"/>
        <v>36630</v>
      </c>
    </row>
    <row r="40" spans="1:18" x14ac:dyDescent="0.25">
      <c r="A40" s="30">
        <v>5038</v>
      </c>
      <c r="B40" s="30" t="s">
        <v>78</v>
      </c>
      <c r="C40" s="30">
        <v>739289</v>
      </c>
      <c r="D40" s="30" t="s">
        <v>26</v>
      </c>
      <c r="E40" s="30" t="s">
        <v>31</v>
      </c>
      <c r="F40" s="30" t="s">
        <v>39</v>
      </c>
      <c r="G40" s="30" t="s">
        <v>57</v>
      </c>
      <c r="H40" s="30">
        <v>2</v>
      </c>
      <c r="I40" s="30">
        <v>40000</v>
      </c>
      <c r="J40" s="30">
        <f t="shared" si="0"/>
        <v>80000</v>
      </c>
      <c r="K40" s="30" t="s">
        <v>23</v>
      </c>
      <c r="L40" s="30" t="s">
        <v>24</v>
      </c>
      <c r="M40" s="30">
        <v>2</v>
      </c>
      <c r="N40" s="30">
        <v>2025</v>
      </c>
      <c r="O40" s="30">
        <v>2</v>
      </c>
      <c r="P40" s="30">
        <v>771</v>
      </c>
      <c r="Q40" s="30">
        <v>215</v>
      </c>
      <c r="R40" s="30">
        <f t="shared" si="1"/>
        <v>79386</v>
      </c>
    </row>
    <row r="41" spans="1:18" x14ac:dyDescent="0.25">
      <c r="A41" s="30">
        <v>5039</v>
      </c>
      <c r="B41" s="30" t="s">
        <v>79</v>
      </c>
      <c r="C41" s="30">
        <v>739290</v>
      </c>
      <c r="D41" s="30" t="s">
        <v>26</v>
      </c>
      <c r="E41" s="30" t="s">
        <v>35</v>
      </c>
      <c r="F41" s="30" t="s">
        <v>39</v>
      </c>
      <c r="G41" s="30" t="s">
        <v>37</v>
      </c>
      <c r="H41" s="30">
        <v>4</v>
      </c>
      <c r="I41" s="30">
        <v>120000</v>
      </c>
      <c r="J41" s="30">
        <f t="shared" si="0"/>
        <v>480000</v>
      </c>
      <c r="K41" s="30" t="s">
        <v>29</v>
      </c>
      <c r="L41" s="30" t="s">
        <v>24</v>
      </c>
      <c r="M41" s="30">
        <v>2</v>
      </c>
      <c r="N41" s="30">
        <v>2025</v>
      </c>
      <c r="O41" s="30">
        <v>8</v>
      </c>
      <c r="P41" s="30">
        <v>151</v>
      </c>
      <c r="Q41" s="30">
        <v>1888</v>
      </c>
      <c r="R41" s="30">
        <f t="shared" si="1"/>
        <v>443639</v>
      </c>
    </row>
    <row r="42" spans="1:18" x14ac:dyDescent="0.25">
      <c r="A42" s="30">
        <v>5040</v>
      </c>
      <c r="B42" s="30" t="s">
        <v>80</v>
      </c>
      <c r="C42" s="30">
        <v>739291</v>
      </c>
      <c r="D42" s="30" t="s">
        <v>34</v>
      </c>
      <c r="E42" s="30" t="s">
        <v>20</v>
      </c>
      <c r="F42" s="30" t="s">
        <v>27</v>
      </c>
      <c r="G42" s="30" t="s">
        <v>37</v>
      </c>
      <c r="H42" s="30">
        <v>3</v>
      </c>
      <c r="I42" s="30">
        <v>120000</v>
      </c>
      <c r="J42" s="30">
        <f t="shared" si="0"/>
        <v>360000</v>
      </c>
      <c r="K42" s="30" t="s">
        <v>23</v>
      </c>
      <c r="L42" s="30" t="s">
        <v>24</v>
      </c>
      <c r="M42" s="30">
        <v>2</v>
      </c>
      <c r="N42" s="30">
        <v>2025</v>
      </c>
      <c r="O42" s="30">
        <v>6</v>
      </c>
      <c r="P42" s="30">
        <v>2122</v>
      </c>
      <c r="Q42" s="30">
        <v>894</v>
      </c>
      <c r="R42" s="30">
        <f t="shared" si="1"/>
        <v>341416</v>
      </c>
    </row>
    <row r="43" spans="1:18" x14ac:dyDescent="0.25">
      <c r="A43" s="30">
        <v>5041</v>
      </c>
      <c r="B43" s="30" t="s">
        <v>81</v>
      </c>
      <c r="C43" s="30">
        <v>739292</v>
      </c>
      <c r="D43" s="30" t="s">
        <v>26</v>
      </c>
      <c r="E43" s="30" t="s">
        <v>44</v>
      </c>
      <c r="F43" s="30" t="s">
        <v>52</v>
      </c>
      <c r="G43" s="30" t="s">
        <v>48</v>
      </c>
      <c r="H43" s="30">
        <v>1</v>
      </c>
      <c r="I43" s="30">
        <v>30000</v>
      </c>
      <c r="J43" s="30">
        <f t="shared" si="0"/>
        <v>30000</v>
      </c>
      <c r="K43" s="30" t="s">
        <v>23</v>
      </c>
      <c r="L43" s="30" t="s">
        <v>32</v>
      </c>
      <c r="M43" s="30">
        <v>2</v>
      </c>
      <c r="N43" s="30">
        <v>2025</v>
      </c>
      <c r="O43" s="30">
        <v>3</v>
      </c>
      <c r="P43" s="30">
        <v>662</v>
      </c>
      <c r="Q43" s="30">
        <v>655</v>
      </c>
      <c r="R43" s="30">
        <f t="shared" si="1"/>
        <v>30417</v>
      </c>
    </row>
    <row r="44" spans="1:18" x14ac:dyDescent="0.25">
      <c r="A44" s="30">
        <v>5042</v>
      </c>
      <c r="B44" s="30" t="s">
        <v>82</v>
      </c>
      <c r="C44" s="30">
        <v>739293</v>
      </c>
      <c r="D44" s="30" t="s">
        <v>43</v>
      </c>
      <c r="E44" s="30" t="s">
        <v>20</v>
      </c>
      <c r="F44" s="30" t="s">
        <v>27</v>
      </c>
      <c r="G44" s="30" t="s">
        <v>37</v>
      </c>
      <c r="H44" s="30">
        <v>3</v>
      </c>
      <c r="I44" s="30">
        <v>120000</v>
      </c>
      <c r="J44" s="30">
        <f t="shared" si="0"/>
        <v>360000</v>
      </c>
      <c r="K44" s="30" t="s">
        <v>29</v>
      </c>
      <c r="L44" s="30" t="s">
        <v>24</v>
      </c>
      <c r="M44" s="30">
        <v>2</v>
      </c>
      <c r="N44" s="30">
        <v>2025</v>
      </c>
      <c r="O44" s="30">
        <v>3</v>
      </c>
      <c r="P44" s="30">
        <v>4110</v>
      </c>
      <c r="Q44" s="30">
        <v>1428</v>
      </c>
      <c r="R44" s="30">
        <f t="shared" si="1"/>
        <v>354738</v>
      </c>
    </row>
    <row r="45" spans="1:18" x14ac:dyDescent="0.25">
      <c r="A45" s="30">
        <v>5043</v>
      </c>
      <c r="B45" s="30" t="s">
        <v>83</v>
      </c>
      <c r="C45" s="30">
        <v>739294</v>
      </c>
      <c r="D45" s="30" t="s">
        <v>19</v>
      </c>
      <c r="E45" s="30" t="s">
        <v>44</v>
      </c>
      <c r="F45" s="30" t="s">
        <v>39</v>
      </c>
      <c r="G45" s="30" t="s">
        <v>22</v>
      </c>
      <c r="H45" s="30">
        <v>4</v>
      </c>
      <c r="I45" s="30">
        <v>45000</v>
      </c>
      <c r="J45" s="30">
        <f t="shared" si="0"/>
        <v>180000</v>
      </c>
      <c r="K45" s="30" t="s">
        <v>23</v>
      </c>
      <c r="L45" s="30" t="s">
        <v>32</v>
      </c>
      <c r="M45" s="30">
        <v>2</v>
      </c>
      <c r="N45" s="30">
        <v>2025</v>
      </c>
      <c r="O45" s="30">
        <v>3</v>
      </c>
      <c r="P45" s="30">
        <v>472</v>
      </c>
      <c r="Q45" s="30">
        <v>1857</v>
      </c>
      <c r="R45" s="30">
        <f t="shared" si="1"/>
        <v>176929</v>
      </c>
    </row>
    <row r="46" spans="1:18" x14ac:dyDescent="0.25">
      <c r="A46" s="30">
        <v>5044</v>
      </c>
      <c r="B46" s="30" t="s">
        <v>84</v>
      </c>
      <c r="C46" s="30">
        <v>739295</v>
      </c>
      <c r="D46" s="30" t="s">
        <v>46</v>
      </c>
      <c r="E46" s="30" t="s">
        <v>31</v>
      </c>
      <c r="F46" s="30" t="s">
        <v>52</v>
      </c>
      <c r="G46" s="30" t="s">
        <v>22</v>
      </c>
      <c r="H46" s="30">
        <v>3</v>
      </c>
      <c r="I46" s="30">
        <v>45000</v>
      </c>
      <c r="J46" s="30">
        <f t="shared" si="0"/>
        <v>135000</v>
      </c>
      <c r="K46" s="30" t="s">
        <v>29</v>
      </c>
      <c r="L46" s="30" t="s">
        <v>32</v>
      </c>
      <c r="M46" s="30">
        <v>2</v>
      </c>
      <c r="N46" s="30">
        <v>2025</v>
      </c>
      <c r="O46" s="30">
        <v>5</v>
      </c>
      <c r="P46" s="30">
        <v>3948</v>
      </c>
      <c r="Q46" s="30">
        <v>7</v>
      </c>
      <c r="R46" s="30">
        <f t="shared" si="1"/>
        <v>132205</v>
      </c>
    </row>
    <row r="47" spans="1:18" x14ac:dyDescent="0.25">
      <c r="A47" s="30">
        <v>5045</v>
      </c>
      <c r="B47" s="30" t="s">
        <v>85</v>
      </c>
      <c r="C47" s="30">
        <v>739296</v>
      </c>
      <c r="D47" s="30" t="s">
        <v>46</v>
      </c>
      <c r="E47" s="30" t="s">
        <v>20</v>
      </c>
      <c r="F47" s="30" t="s">
        <v>52</v>
      </c>
      <c r="G47" s="30" t="s">
        <v>37</v>
      </c>
      <c r="H47" s="30">
        <v>3</v>
      </c>
      <c r="I47" s="30">
        <v>120000</v>
      </c>
      <c r="J47" s="30">
        <f t="shared" si="0"/>
        <v>360000</v>
      </c>
      <c r="K47" s="30" t="s">
        <v>40</v>
      </c>
      <c r="L47" s="30" t="s">
        <v>32</v>
      </c>
      <c r="M47" s="30">
        <v>2</v>
      </c>
      <c r="N47" s="30">
        <v>2025</v>
      </c>
      <c r="O47" s="30">
        <v>0</v>
      </c>
      <c r="P47" s="30">
        <v>3882</v>
      </c>
      <c r="Q47" s="30">
        <v>324</v>
      </c>
      <c r="R47" s="30">
        <f t="shared" si="1"/>
        <v>364206</v>
      </c>
    </row>
    <row r="48" spans="1:18" x14ac:dyDescent="0.25">
      <c r="A48" s="30">
        <v>5046</v>
      </c>
      <c r="B48" s="30" t="s">
        <v>86</v>
      </c>
      <c r="C48" s="30">
        <v>739297</v>
      </c>
      <c r="D48" s="30" t="s">
        <v>34</v>
      </c>
      <c r="E48" s="30" t="s">
        <v>35</v>
      </c>
      <c r="F48" s="30" t="s">
        <v>27</v>
      </c>
      <c r="G48" s="30" t="s">
        <v>48</v>
      </c>
      <c r="H48" s="30">
        <v>2</v>
      </c>
      <c r="I48" s="30">
        <v>30000</v>
      </c>
      <c r="J48" s="30">
        <f t="shared" si="0"/>
        <v>60000</v>
      </c>
      <c r="K48" s="30" t="s">
        <v>40</v>
      </c>
      <c r="L48" s="30" t="s">
        <v>24</v>
      </c>
      <c r="M48" s="30">
        <v>2</v>
      </c>
      <c r="N48" s="30">
        <v>2025</v>
      </c>
      <c r="O48" s="30">
        <v>8</v>
      </c>
      <c r="P48" s="30">
        <v>3720</v>
      </c>
      <c r="Q48" s="30">
        <v>684</v>
      </c>
      <c r="R48" s="30">
        <f t="shared" si="1"/>
        <v>59604</v>
      </c>
    </row>
    <row r="49" spans="1:18" x14ac:dyDescent="0.25">
      <c r="A49" s="30">
        <v>5047</v>
      </c>
      <c r="B49" s="30" t="s">
        <v>87</v>
      </c>
      <c r="C49" s="30">
        <v>739298</v>
      </c>
      <c r="D49" s="30" t="s">
        <v>43</v>
      </c>
      <c r="E49" s="30" t="s">
        <v>35</v>
      </c>
      <c r="F49" s="30" t="s">
        <v>39</v>
      </c>
      <c r="G49" s="30" t="s">
        <v>48</v>
      </c>
      <c r="H49" s="30">
        <v>2</v>
      </c>
      <c r="I49" s="30">
        <v>30000</v>
      </c>
      <c r="J49" s="30">
        <f t="shared" si="0"/>
        <v>60000</v>
      </c>
      <c r="K49" s="30" t="s">
        <v>23</v>
      </c>
      <c r="L49" s="30" t="s">
        <v>32</v>
      </c>
      <c r="M49" s="30">
        <v>2</v>
      </c>
      <c r="N49" s="30">
        <v>2025</v>
      </c>
      <c r="O49" s="30">
        <v>6</v>
      </c>
      <c r="P49" s="30">
        <v>2627</v>
      </c>
      <c r="Q49" s="30">
        <v>905</v>
      </c>
      <c r="R49" s="30">
        <f t="shared" si="1"/>
        <v>59932</v>
      </c>
    </row>
    <row r="50" spans="1:18" x14ac:dyDescent="0.25">
      <c r="A50" s="30">
        <v>5048</v>
      </c>
      <c r="B50" s="30" t="s">
        <v>88</v>
      </c>
      <c r="C50" s="30">
        <v>739299</v>
      </c>
      <c r="D50" s="30" t="s">
        <v>43</v>
      </c>
      <c r="E50" s="30" t="s">
        <v>44</v>
      </c>
      <c r="F50" s="30" t="s">
        <v>27</v>
      </c>
      <c r="G50" s="30" t="s">
        <v>28</v>
      </c>
      <c r="H50" s="30">
        <v>1</v>
      </c>
      <c r="I50" s="30">
        <v>35000</v>
      </c>
      <c r="J50" s="30">
        <f t="shared" si="0"/>
        <v>35000</v>
      </c>
      <c r="K50" s="30" t="s">
        <v>40</v>
      </c>
      <c r="L50" s="30" t="s">
        <v>32</v>
      </c>
      <c r="M50" s="30">
        <v>2</v>
      </c>
      <c r="N50" s="30">
        <v>2025</v>
      </c>
      <c r="O50" s="30">
        <v>10</v>
      </c>
      <c r="P50" s="30">
        <v>2462</v>
      </c>
      <c r="Q50" s="30">
        <v>292</v>
      </c>
      <c r="R50" s="30">
        <f t="shared" si="1"/>
        <v>34254</v>
      </c>
    </row>
    <row r="51" spans="1:18" x14ac:dyDescent="0.25">
      <c r="A51" s="30">
        <v>5049</v>
      </c>
      <c r="B51" s="30" t="s">
        <v>89</v>
      </c>
      <c r="C51" s="30">
        <v>739300</v>
      </c>
      <c r="D51" s="30" t="s">
        <v>34</v>
      </c>
      <c r="E51" s="30" t="s">
        <v>35</v>
      </c>
      <c r="F51" s="30" t="s">
        <v>39</v>
      </c>
      <c r="G51" s="30" t="s">
        <v>48</v>
      </c>
      <c r="H51" s="30">
        <v>5</v>
      </c>
      <c r="I51" s="30">
        <v>30000</v>
      </c>
      <c r="J51" s="30">
        <f t="shared" si="0"/>
        <v>150000</v>
      </c>
      <c r="K51" s="30" t="s">
        <v>23</v>
      </c>
      <c r="L51" s="30" t="s">
        <v>32</v>
      </c>
      <c r="M51" s="30">
        <v>2</v>
      </c>
      <c r="N51" s="30">
        <v>2025</v>
      </c>
      <c r="O51" s="30">
        <v>10</v>
      </c>
      <c r="P51" s="30">
        <v>2120</v>
      </c>
      <c r="Q51" s="30">
        <v>447</v>
      </c>
      <c r="R51" s="30">
        <f t="shared" si="1"/>
        <v>137567</v>
      </c>
    </row>
    <row r="52" spans="1:18" x14ac:dyDescent="0.25">
      <c r="A52" s="30">
        <v>5050</v>
      </c>
      <c r="B52" s="30" t="s">
        <v>90</v>
      </c>
      <c r="C52" s="30">
        <v>739301</v>
      </c>
      <c r="D52" s="30" t="s">
        <v>46</v>
      </c>
      <c r="E52" s="30" t="s">
        <v>20</v>
      </c>
      <c r="F52" s="30" t="s">
        <v>27</v>
      </c>
      <c r="G52" s="30" t="s">
        <v>57</v>
      </c>
      <c r="H52" s="30">
        <v>2</v>
      </c>
      <c r="I52" s="30">
        <v>40000</v>
      </c>
      <c r="J52" s="30">
        <f t="shared" si="0"/>
        <v>80000</v>
      </c>
      <c r="K52" s="30" t="s">
        <v>29</v>
      </c>
      <c r="L52" s="30" t="s">
        <v>24</v>
      </c>
      <c r="M52" s="30">
        <v>2</v>
      </c>
      <c r="N52" s="30">
        <v>2025</v>
      </c>
      <c r="O52" s="30">
        <v>3</v>
      </c>
      <c r="P52" s="30">
        <v>3502</v>
      </c>
      <c r="Q52" s="30">
        <v>791</v>
      </c>
      <c r="R52" s="30">
        <f t="shared" si="1"/>
        <v>81893</v>
      </c>
    </row>
    <row r="53" spans="1:18" x14ac:dyDescent="0.25">
      <c r="A53" s="30">
        <v>5051</v>
      </c>
      <c r="B53" s="30" t="s">
        <v>91</v>
      </c>
      <c r="C53" s="30">
        <v>739302</v>
      </c>
      <c r="D53" s="30" t="s">
        <v>41</v>
      </c>
      <c r="E53" s="30" t="s">
        <v>35</v>
      </c>
      <c r="F53" s="30" t="s">
        <v>39</v>
      </c>
      <c r="G53" s="30" t="s">
        <v>48</v>
      </c>
      <c r="H53" s="30">
        <v>4</v>
      </c>
      <c r="I53" s="30">
        <v>30000</v>
      </c>
      <c r="J53" s="30">
        <f t="shared" si="0"/>
        <v>120000</v>
      </c>
      <c r="K53" s="30" t="s">
        <v>40</v>
      </c>
      <c r="L53" s="30" t="s">
        <v>24</v>
      </c>
      <c r="M53" s="30">
        <v>2</v>
      </c>
      <c r="N53" s="30">
        <v>2025</v>
      </c>
      <c r="O53" s="30">
        <v>8</v>
      </c>
      <c r="P53" s="30">
        <v>1687</v>
      </c>
      <c r="Q53" s="30">
        <v>1678</v>
      </c>
      <c r="R53" s="30">
        <f t="shared" si="1"/>
        <v>113765</v>
      </c>
    </row>
    <row r="54" spans="1:18" x14ac:dyDescent="0.25">
      <c r="A54" s="30">
        <v>5052</v>
      </c>
      <c r="B54" s="30" t="s">
        <v>92</v>
      </c>
      <c r="C54" s="30">
        <v>739303</v>
      </c>
      <c r="D54" s="30" t="s">
        <v>46</v>
      </c>
      <c r="E54" s="30" t="s">
        <v>44</v>
      </c>
      <c r="F54" s="30" t="s">
        <v>27</v>
      </c>
      <c r="G54" s="30" t="s">
        <v>37</v>
      </c>
      <c r="H54" s="30">
        <v>2</v>
      </c>
      <c r="I54" s="30">
        <v>120000</v>
      </c>
      <c r="J54" s="30">
        <f t="shared" si="0"/>
        <v>240000</v>
      </c>
      <c r="K54" s="30" t="s">
        <v>40</v>
      </c>
      <c r="L54" s="30" t="s">
        <v>32</v>
      </c>
      <c r="M54" s="30">
        <v>2</v>
      </c>
      <c r="N54" s="30">
        <v>2025</v>
      </c>
      <c r="O54" s="30">
        <v>9</v>
      </c>
      <c r="P54" s="30">
        <v>837</v>
      </c>
      <c r="Q54" s="30">
        <v>577</v>
      </c>
      <c r="R54" s="30">
        <f t="shared" si="1"/>
        <v>219814</v>
      </c>
    </row>
    <row r="55" spans="1:18" x14ac:dyDescent="0.25">
      <c r="A55" s="30">
        <v>5053</v>
      </c>
      <c r="B55" s="30" t="s">
        <v>93</v>
      </c>
      <c r="C55" s="30">
        <v>739304</v>
      </c>
      <c r="D55" s="30" t="s">
        <v>26</v>
      </c>
      <c r="E55" s="30" t="s">
        <v>31</v>
      </c>
      <c r="F55" s="30" t="s">
        <v>27</v>
      </c>
      <c r="G55" s="30" t="s">
        <v>57</v>
      </c>
      <c r="H55" s="30">
        <v>1</v>
      </c>
      <c r="I55" s="30">
        <v>40000</v>
      </c>
      <c r="J55" s="30">
        <f t="shared" si="0"/>
        <v>40000</v>
      </c>
      <c r="K55" s="30" t="s">
        <v>40</v>
      </c>
      <c r="L55" s="30" t="s">
        <v>24</v>
      </c>
      <c r="M55" s="30">
        <v>2</v>
      </c>
      <c r="N55" s="30">
        <v>2025</v>
      </c>
      <c r="O55" s="30">
        <v>8</v>
      </c>
      <c r="P55" s="30">
        <v>4724</v>
      </c>
      <c r="Q55" s="30">
        <v>1830</v>
      </c>
      <c r="R55" s="30">
        <f t="shared" si="1"/>
        <v>43354</v>
      </c>
    </row>
    <row r="56" spans="1:18" x14ac:dyDescent="0.25">
      <c r="A56" s="30">
        <v>5054</v>
      </c>
      <c r="B56" s="30" t="s">
        <v>94</v>
      </c>
      <c r="C56" s="30">
        <v>739305</v>
      </c>
      <c r="D56" s="30" t="s">
        <v>34</v>
      </c>
      <c r="E56" s="30" t="s">
        <v>31</v>
      </c>
      <c r="F56" s="30" t="s">
        <v>27</v>
      </c>
      <c r="G56" s="30" t="s">
        <v>37</v>
      </c>
      <c r="H56" s="30">
        <v>4</v>
      </c>
      <c r="I56" s="30">
        <v>120000</v>
      </c>
      <c r="J56" s="30">
        <f t="shared" si="0"/>
        <v>480000</v>
      </c>
      <c r="K56" s="30" t="s">
        <v>40</v>
      </c>
      <c r="L56" s="30" t="s">
        <v>32</v>
      </c>
      <c r="M56" s="30">
        <v>2</v>
      </c>
      <c r="N56" s="30">
        <v>2025</v>
      </c>
      <c r="O56" s="30">
        <v>0</v>
      </c>
      <c r="P56" s="30">
        <v>3196</v>
      </c>
      <c r="Q56" s="30">
        <v>985</v>
      </c>
      <c r="R56" s="30">
        <f t="shared" si="1"/>
        <v>484181</v>
      </c>
    </row>
    <row r="57" spans="1:18" x14ac:dyDescent="0.25">
      <c r="A57" s="30">
        <v>5055</v>
      </c>
      <c r="B57" s="30" t="s">
        <v>95</v>
      </c>
      <c r="C57" s="30">
        <v>739306</v>
      </c>
      <c r="D57" s="30" t="s">
        <v>26</v>
      </c>
      <c r="E57" s="30" t="s">
        <v>44</v>
      </c>
      <c r="F57" s="30" t="s">
        <v>39</v>
      </c>
      <c r="G57" s="30" t="s">
        <v>28</v>
      </c>
      <c r="H57" s="30">
        <v>4</v>
      </c>
      <c r="I57" s="30">
        <v>35000</v>
      </c>
      <c r="J57" s="30">
        <f t="shared" si="0"/>
        <v>140000</v>
      </c>
      <c r="K57" s="30" t="s">
        <v>40</v>
      </c>
      <c r="L57" s="30" t="s">
        <v>32</v>
      </c>
      <c r="M57" s="30">
        <v>2</v>
      </c>
      <c r="N57" s="30">
        <v>2025</v>
      </c>
      <c r="O57" s="30">
        <v>6</v>
      </c>
      <c r="P57" s="30">
        <v>3051</v>
      </c>
      <c r="Q57" s="30">
        <v>177</v>
      </c>
      <c r="R57" s="30">
        <f t="shared" si="1"/>
        <v>134828</v>
      </c>
    </row>
    <row r="58" spans="1:18" x14ac:dyDescent="0.25">
      <c r="A58" s="30">
        <v>5056</v>
      </c>
      <c r="B58" s="30" t="s">
        <v>96</v>
      </c>
      <c r="C58" s="30">
        <v>739307</v>
      </c>
      <c r="D58" s="30" t="s">
        <v>19</v>
      </c>
      <c r="E58" s="30" t="s">
        <v>35</v>
      </c>
      <c r="F58" s="30" t="s">
        <v>52</v>
      </c>
      <c r="G58" s="30" t="s">
        <v>37</v>
      </c>
      <c r="H58" s="30">
        <v>4</v>
      </c>
      <c r="I58" s="30">
        <v>120000</v>
      </c>
      <c r="J58" s="30">
        <f t="shared" si="0"/>
        <v>480000</v>
      </c>
      <c r="K58" s="30" t="s">
        <v>23</v>
      </c>
      <c r="L58" s="30" t="s">
        <v>24</v>
      </c>
      <c r="M58" s="30">
        <v>2</v>
      </c>
      <c r="N58" s="30">
        <v>2025</v>
      </c>
      <c r="O58" s="30">
        <v>6</v>
      </c>
      <c r="P58" s="30">
        <v>3746</v>
      </c>
      <c r="Q58" s="30">
        <v>844</v>
      </c>
      <c r="R58" s="30">
        <f t="shared" si="1"/>
        <v>455790</v>
      </c>
    </row>
    <row r="59" spans="1:18" x14ac:dyDescent="0.25">
      <c r="A59" s="30">
        <v>5057</v>
      </c>
      <c r="B59" s="30" t="s">
        <v>97</v>
      </c>
      <c r="C59" s="30">
        <v>739308</v>
      </c>
      <c r="D59" s="30" t="s">
        <v>41</v>
      </c>
      <c r="E59" s="30" t="s">
        <v>20</v>
      </c>
      <c r="F59" s="30" t="s">
        <v>21</v>
      </c>
      <c r="G59" s="30" t="s">
        <v>37</v>
      </c>
      <c r="H59" s="30">
        <v>4</v>
      </c>
      <c r="I59" s="30">
        <v>120000</v>
      </c>
      <c r="J59" s="30">
        <f t="shared" si="0"/>
        <v>480000</v>
      </c>
      <c r="K59" s="30" t="s">
        <v>23</v>
      </c>
      <c r="L59" s="30" t="s">
        <v>32</v>
      </c>
      <c r="M59" s="30">
        <v>2</v>
      </c>
      <c r="N59" s="30">
        <v>2025</v>
      </c>
      <c r="O59" s="30">
        <v>9</v>
      </c>
      <c r="P59" s="30">
        <v>2051</v>
      </c>
      <c r="Q59" s="30">
        <v>1824</v>
      </c>
      <c r="R59" s="30">
        <f t="shared" si="1"/>
        <v>440675</v>
      </c>
    </row>
    <row r="60" spans="1:18" x14ac:dyDescent="0.25">
      <c r="A60" s="30">
        <v>5058</v>
      </c>
      <c r="B60" s="30" t="s">
        <v>98</v>
      </c>
      <c r="C60" s="30">
        <v>739309</v>
      </c>
      <c r="D60" s="30" t="s">
        <v>34</v>
      </c>
      <c r="E60" s="30" t="s">
        <v>44</v>
      </c>
      <c r="F60" s="30" t="s">
        <v>52</v>
      </c>
      <c r="G60" s="30" t="s">
        <v>28</v>
      </c>
      <c r="H60" s="30">
        <v>3</v>
      </c>
      <c r="I60" s="30">
        <v>35000</v>
      </c>
      <c r="J60" s="30">
        <f t="shared" si="0"/>
        <v>105000</v>
      </c>
      <c r="K60" s="30" t="s">
        <v>23</v>
      </c>
      <c r="L60" s="30" t="s">
        <v>32</v>
      </c>
      <c r="M60" s="30">
        <v>2</v>
      </c>
      <c r="N60" s="30">
        <v>2025</v>
      </c>
      <c r="O60" s="30">
        <v>2</v>
      </c>
      <c r="P60" s="30">
        <v>573</v>
      </c>
      <c r="Q60" s="30">
        <v>179</v>
      </c>
      <c r="R60" s="30">
        <f t="shared" si="1"/>
        <v>103652</v>
      </c>
    </row>
    <row r="61" spans="1:18" x14ac:dyDescent="0.25">
      <c r="A61" s="30">
        <v>5059</v>
      </c>
      <c r="B61" s="30" t="s">
        <v>99</v>
      </c>
      <c r="C61" s="30">
        <v>739310</v>
      </c>
      <c r="D61" s="30" t="s">
        <v>43</v>
      </c>
      <c r="E61" s="30" t="s">
        <v>31</v>
      </c>
      <c r="F61" s="30" t="s">
        <v>52</v>
      </c>
      <c r="G61" s="30" t="s">
        <v>37</v>
      </c>
      <c r="H61" s="30">
        <v>1</v>
      </c>
      <c r="I61" s="30">
        <v>120000</v>
      </c>
      <c r="J61" s="30">
        <f t="shared" si="0"/>
        <v>120000</v>
      </c>
      <c r="K61" s="30" t="s">
        <v>23</v>
      </c>
      <c r="L61" s="30" t="s">
        <v>24</v>
      </c>
      <c r="M61" s="30">
        <v>2</v>
      </c>
      <c r="N61" s="30">
        <v>2025</v>
      </c>
      <c r="O61" s="30">
        <v>3</v>
      </c>
      <c r="P61" s="30">
        <v>1560</v>
      </c>
      <c r="Q61" s="30">
        <v>503</v>
      </c>
      <c r="R61" s="30">
        <f t="shared" si="1"/>
        <v>118463</v>
      </c>
    </row>
    <row r="62" spans="1:18" x14ac:dyDescent="0.25">
      <c r="A62" s="30">
        <v>5060</v>
      </c>
      <c r="B62" s="30" t="s">
        <v>100</v>
      </c>
      <c r="C62" s="30">
        <v>739311</v>
      </c>
      <c r="D62" s="30" t="s">
        <v>34</v>
      </c>
      <c r="E62" s="30" t="s">
        <v>20</v>
      </c>
      <c r="F62" s="30" t="s">
        <v>52</v>
      </c>
      <c r="G62" s="30" t="s">
        <v>28</v>
      </c>
      <c r="H62" s="30">
        <v>4</v>
      </c>
      <c r="I62" s="30">
        <v>35000</v>
      </c>
      <c r="J62" s="30">
        <f t="shared" si="0"/>
        <v>140000</v>
      </c>
      <c r="K62" s="30" t="s">
        <v>23</v>
      </c>
      <c r="L62" s="30" t="s">
        <v>32</v>
      </c>
      <c r="M62" s="30">
        <v>3</v>
      </c>
      <c r="N62" s="30">
        <v>2025</v>
      </c>
      <c r="O62" s="30">
        <v>8</v>
      </c>
      <c r="P62" s="30">
        <v>1821</v>
      </c>
      <c r="Q62" s="30">
        <v>1127</v>
      </c>
      <c r="R62" s="30">
        <f t="shared" si="1"/>
        <v>131748</v>
      </c>
    </row>
    <row r="63" spans="1:18" x14ac:dyDescent="0.25">
      <c r="A63" s="30">
        <v>5061</v>
      </c>
      <c r="B63" s="30" t="s">
        <v>101</v>
      </c>
      <c r="C63" s="30">
        <v>739312</v>
      </c>
      <c r="D63" s="30" t="s">
        <v>41</v>
      </c>
      <c r="E63" s="30" t="s">
        <v>35</v>
      </c>
      <c r="F63" s="30" t="s">
        <v>21</v>
      </c>
      <c r="G63" s="30" t="s">
        <v>28</v>
      </c>
      <c r="H63" s="30">
        <v>5</v>
      </c>
      <c r="I63" s="30">
        <v>35000</v>
      </c>
      <c r="J63" s="30">
        <f t="shared" si="0"/>
        <v>175000</v>
      </c>
      <c r="K63" s="30" t="s">
        <v>23</v>
      </c>
      <c r="L63" s="30" t="s">
        <v>24</v>
      </c>
      <c r="M63" s="30">
        <v>3</v>
      </c>
      <c r="N63" s="30">
        <v>2025</v>
      </c>
      <c r="O63" s="30">
        <v>6</v>
      </c>
      <c r="P63" s="30">
        <v>3864</v>
      </c>
      <c r="Q63" s="30">
        <v>738</v>
      </c>
      <c r="R63" s="30">
        <f t="shared" si="1"/>
        <v>169102</v>
      </c>
    </row>
    <row r="64" spans="1:18" x14ac:dyDescent="0.25">
      <c r="A64" s="30">
        <v>5062</v>
      </c>
      <c r="B64" s="30" t="s">
        <v>102</v>
      </c>
      <c r="C64" s="30">
        <v>739313</v>
      </c>
      <c r="D64" s="30" t="s">
        <v>19</v>
      </c>
      <c r="E64" s="30" t="s">
        <v>31</v>
      </c>
      <c r="F64" s="30" t="s">
        <v>52</v>
      </c>
      <c r="G64" s="30" t="s">
        <v>57</v>
      </c>
      <c r="H64" s="30">
        <v>3</v>
      </c>
      <c r="I64" s="30">
        <v>40000</v>
      </c>
      <c r="J64" s="30">
        <f t="shared" si="0"/>
        <v>120000</v>
      </c>
      <c r="K64" s="30" t="s">
        <v>29</v>
      </c>
      <c r="L64" s="30" t="s">
        <v>24</v>
      </c>
      <c r="M64" s="30">
        <v>3</v>
      </c>
      <c r="N64" s="30">
        <v>2025</v>
      </c>
      <c r="O64" s="30">
        <v>5</v>
      </c>
      <c r="P64" s="30">
        <v>3658</v>
      </c>
      <c r="Q64" s="30">
        <v>940</v>
      </c>
      <c r="R64" s="30">
        <f t="shared" si="1"/>
        <v>118598</v>
      </c>
    </row>
    <row r="65" spans="1:18" x14ac:dyDescent="0.25">
      <c r="A65" s="30">
        <v>5063</v>
      </c>
      <c r="B65" s="30" t="s">
        <v>103</v>
      </c>
      <c r="C65" s="30">
        <v>739314</v>
      </c>
      <c r="D65" s="30" t="s">
        <v>19</v>
      </c>
      <c r="E65" s="30" t="s">
        <v>35</v>
      </c>
      <c r="F65" s="30" t="s">
        <v>52</v>
      </c>
      <c r="G65" s="30" t="s">
        <v>48</v>
      </c>
      <c r="H65" s="30">
        <v>1</v>
      </c>
      <c r="I65" s="30">
        <v>30000</v>
      </c>
      <c r="J65" s="30">
        <f t="shared" si="0"/>
        <v>30000</v>
      </c>
      <c r="K65" s="30" t="s">
        <v>23</v>
      </c>
      <c r="L65" s="30" t="s">
        <v>24</v>
      </c>
      <c r="M65" s="30">
        <v>3</v>
      </c>
      <c r="N65" s="30">
        <v>2025</v>
      </c>
      <c r="O65" s="30">
        <v>2</v>
      </c>
      <c r="P65" s="30">
        <v>2348</v>
      </c>
      <c r="Q65" s="30">
        <v>1750</v>
      </c>
      <c r="R65" s="30">
        <f t="shared" si="1"/>
        <v>33498</v>
      </c>
    </row>
    <row r="66" spans="1:18" x14ac:dyDescent="0.25">
      <c r="A66" s="30">
        <v>5064</v>
      </c>
      <c r="B66" s="30" t="s">
        <v>104</v>
      </c>
      <c r="C66" s="30">
        <v>739315</v>
      </c>
      <c r="D66" s="30" t="s">
        <v>43</v>
      </c>
      <c r="E66" s="30" t="s">
        <v>44</v>
      </c>
      <c r="F66" s="30" t="s">
        <v>27</v>
      </c>
      <c r="G66" s="30" t="s">
        <v>48</v>
      </c>
      <c r="H66" s="30">
        <v>2</v>
      </c>
      <c r="I66" s="30">
        <v>30000</v>
      </c>
      <c r="J66" s="30">
        <f t="shared" si="0"/>
        <v>60000</v>
      </c>
      <c r="K66" s="30" t="s">
        <v>40</v>
      </c>
      <c r="L66" s="30" t="s">
        <v>32</v>
      </c>
      <c r="M66" s="30">
        <v>3</v>
      </c>
      <c r="N66" s="30">
        <v>2025</v>
      </c>
      <c r="O66" s="30">
        <v>6</v>
      </c>
      <c r="P66" s="30">
        <v>3672</v>
      </c>
      <c r="Q66" s="30">
        <v>29</v>
      </c>
      <c r="R66" s="30">
        <f t="shared" si="1"/>
        <v>60101</v>
      </c>
    </row>
    <row r="67" spans="1:18" x14ac:dyDescent="0.25">
      <c r="A67" s="30">
        <v>5065</v>
      </c>
      <c r="B67" s="30" t="s">
        <v>105</v>
      </c>
      <c r="C67" s="30">
        <v>739316</v>
      </c>
      <c r="D67" s="30" t="s">
        <v>46</v>
      </c>
      <c r="E67" s="30" t="s">
        <v>31</v>
      </c>
      <c r="F67" s="30" t="s">
        <v>21</v>
      </c>
      <c r="G67" s="30" t="s">
        <v>48</v>
      </c>
      <c r="H67" s="30">
        <v>5</v>
      </c>
      <c r="I67" s="30">
        <v>30000</v>
      </c>
      <c r="J67" s="30">
        <f t="shared" si="0"/>
        <v>150000</v>
      </c>
      <c r="K67" s="30" t="s">
        <v>40</v>
      </c>
      <c r="L67" s="30" t="s">
        <v>24</v>
      </c>
      <c r="M67" s="30">
        <v>3</v>
      </c>
      <c r="N67" s="30">
        <v>2025</v>
      </c>
      <c r="O67" s="30">
        <v>2</v>
      </c>
      <c r="P67" s="30">
        <v>4657</v>
      </c>
      <c r="Q67" s="30">
        <v>198</v>
      </c>
      <c r="R67" s="30">
        <f t="shared" si="1"/>
        <v>151855</v>
      </c>
    </row>
    <row r="68" spans="1:18" x14ac:dyDescent="0.25">
      <c r="A68" s="30">
        <v>5066</v>
      </c>
      <c r="B68" s="30" t="s">
        <v>106</v>
      </c>
      <c r="C68" s="30">
        <v>739317</v>
      </c>
      <c r="D68" s="30" t="s">
        <v>43</v>
      </c>
      <c r="E68" s="30" t="s">
        <v>31</v>
      </c>
      <c r="F68" s="30" t="s">
        <v>39</v>
      </c>
      <c r="G68" s="30" t="s">
        <v>48</v>
      </c>
      <c r="H68" s="30">
        <v>3</v>
      </c>
      <c r="I68" s="30">
        <v>30000</v>
      </c>
      <c r="J68" s="30">
        <f t="shared" ref="J68:J77" si="2">H68*I68</f>
        <v>90000</v>
      </c>
      <c r="K68" s="30" t="s">
        <v>29</v>
      </c>
      <c r="L68" s="30" t="s">
        <v>24</v>
      </c>
      <c r="M68" s="30">
        <v>3</v>
      </c>
      <c r="N68" s="30">
        <v>2025</v>
      </c>
      <c r="O68" s="30">
        <v>3</v>
      </c>
      <c r="P68" s="30">
        <v>3523</v>
      </c>
      <c r="Q68" s="30">
        <v>1351</v>
      </c>
      <c r="R68" s="30">
        <f t="shared" ref="R68:R77" si="3">J68-(J68*O68/100)+P68+Q68</f>
        <v>92174</v>
      </c>
    </row>
    <row r="69" spans="1:18" x14ac:dyDescent="0.25">
      <c r="A69" s="30">
        <v>5067</v>
      </c>
      <c r="B69" s="30" t="s">
        <v>107</v>
      </c>
      <c r="C69" s="30">
        <v>739318</v>
      </c>
      <c r="D69" s="30" t="s">
        <v>41</v>
      </c>
      <c r="E69" s="30" t="s">
        <v>35</v>
      </c>
      <c r="F69" s="30" t="s">
        <v>21</v>
      </c>
      <c r="G69" s="30" t="s">
        <v>48</v>
      </c>
      <c r="H69" s="30">
        <v>3</v>
      </c>
      <c r="I69" s="30">
        <v>30000</v>
      </c>
      <c r="J69" s="30">
        <f t="shared" si="2"/>
        <v>90000</v>
      </c>
      <c r="K69" s="30" t="s">
        <v>29</v>
      </c>
      <c r="L69" s="30" t="s">
        <v>32</v>
      </c>
      <c r="M69" s="30">
        <v>3</v>
      </c>
      <c r="N69" s="30">
        <v>2025</v>
      </c>
      <c r="O69" s="30">
        <v>4</v>
      </c>
      <c r="P69" s="30">
        <v>92</v>
      </c>
      <c r="Q69" s="30">
        <v>913</v>
      </c>
      <c r="R69" s="30">
        <f t="shared" si="3"/>
        <v>87405</v>
      </c>
    </row>
    <row r="70" spans="1:18" x14ac:dyDescent="0.25">
      <c r="A70" s="30">
        <v>5068</v>
      </c>
      <c r="B70" s="30" t="s">
        <v>108</v>
      </c>
      <c r="C70" s="30">
        <v>739319</v>
      </c>
      <c r="D70" s="30" t="s">
        <v>19</v>
      </c>
      <c r="E70" s="30" t="s">
        <v>31</v>
      </c>
      <c r="F70" s="30" t="s">
        <v>39</v>
      </c>
      <c r="G70" s="30" t="s">
        <v>28</v>
      </c>
      <c r="H70" s="30">
        <v>5</v>
      </c>
      <c r="I70" s="30">
        <v>35000</v>
      </c>
      <c r="J70" s="30">
        <f t="shared" si="2"/>
        <v>175000</v>
      </c>
      <c r="K70" s="30" t="s">
        <v>29</v>
      </c>
      <c r="L70" s="30" t="s">
        <v>32</v>
      </c>
      <c r="M70" s="30">
        <v>3</v>
      </c>
      <c r="N70" s="30">
        <v>2025</v>
      </c>
      <c r="O70" s="30">
        <v>5</v>
      </c>
      <c r="P70" s="30">
        <v>2567</v>
      </c>
      <c r="Q70" s="30">
        <v>280</v>
      </c>
      <c r="R70" s="30">
        <f t="shared" si="3"/>
        <v>169097</v>
      </c>
    </row>
    <row r="71" spans="1:18" x14ac:dyDescent="0.25">
      <c r="A71" s="30">
        <v>5069</v>
      </c>
      <c r="B71" s="30" t="s">
        <v>109</v>
      </c>
      <c r="C71" s="30">
        <v>739320</v>
      </c>
      <c r="D71" s="30" t="s">
        <v>34</v>
      </c>
      <c r="E71" s="30" t="s">
        <v>20</v>
      </c>
      <c r="F71" s="30" t="s">
        <v>27</v>
      </c>
      <c r="G71" s="30" t="s">
        <v>48</v>
      </c>
      <c r="H71" s="30">
        <v>2</v>
      </c>
      <c r="I71" s="30">
        <v>30000</v>
      </c>
      <c r="J71" s="30">
        <f t="shared" si="2"/>
        <v>60000</v>
      </c>
      <c r="K71" s="30" t="s">
        <v>23</v>
      </c>
      <c r="L71" s="30" t="s">
        <v>32</v>
      </c>
      <c r="M71" s="30">
        <v>3</v>
      </c>
      <c r="N71" s="30">
        <v>2025</v>
      </c>
      <c r="O71" s="30">
        <v>6</v>
      </c>
      <c r="P71" s="30">
        <v>1835</v>
      </c>
      <c r="Q71" s="30">
        <v>1033</v>
      </c>
      <c r="R71" s="30">
        <f t="shared" si="3"/>
        <v>59268</v>
      </c>
    </row>
    <row r="72" spans="1:18" x14ac:dyDescent="0.25">
      <c r="A72" s="30">
        <v>5070</v>
      </c>
      <c r="B72" s="30" t="s">
        <v>110</v>
      </c>
      <c r="C72" s="30">
        <v>739321</v>
      </c>
      <c r="D72" s="30" t="s">
        <v>34</v>
      </c>
      <c r="E72" s="30" t="s">
        <v>20</v>
      </c>
      <c r="F72" s="30" t="s">
        <v>52</v>
      </c>
      <c r="G72" s="30" t="s">
        <v>28</v>
      </c>
      <c r="H72" s="30">
        <v>4</v>
      </c>
      <c r="I72" s="30">
        <v>35000</v>
      </c>
      <c r="J72" s="30">
        <f t="shared" si="2"/>
        <v>140000</v>
      </c>
      <c r="K72" s="30" t="s">
        <v>40</v>
      </c>
      <c r="L72" s="30" t="s">
        <v>24</v>
      </c>
      <c r="M72" s="30">
        <v>3</v>
      </c>
      <c r="N72" s="30">
        <v>2025</v>
      </c>
      <c r="O72" s="30">
        <v>3</v>
      </c>
      <c r="P72" s="30">
        <v>1833</v>
      </c>
      <c r="Q72" s="30">
        <v>1642</v>
      </c>
      <c r="R72" s="30">
        <f t="shared" si="3"/>
        <v>139275</v>
      </c>
    </row>
    <row r="73" spans="1:18" x14ac:dyDescent="0.25">
      <c r="A73" s="30">
        <v>5071</v>
      </c>
      <c r="B73" s="30" t="s">
        <v>111</v>
      </c>
      <c r="C73" s="30">
        <v>739322</v>
      </c>
      <c r="D73" s="30" t="s">
        <v>46</v>
      </c>
      <c r="E73" s="30" t="s">
        <v>20</v>
      </c>
      <c r="F73" s="30" t="s">
        <v>27</v>
      </c>
      <c r="G73" s="30" t="s">
        <v>22</v>
      </c>
      <c r="H73" s="30">
        <v>1</v>
      </c>
      <c r="I73" s="30">
        <v>45000</v>
      </c>
      <c r="J73" s="30">
        <f t="shared" si="2"/>
        <v>45000</v>
      </c>
      <c r="K73" s="30" t="s">
        <v>23</v>
      </c>
      <c r="L73" s="30" t="s">
        <v>24</v>
      </c>
      <c r="M73" s="30">
        <v>3</v>
      </c>
      <c r="N73" s="30">
        <v>2025</v>
      </c>
      <c r="O73" s="30">
        <v>2</v>
      </c>
      <c r="P73" s="30">
        <v>4856</v>
      </c>
      <c r="Q73" s="30">
        <v>1256</v>
      </c>
      <c r="R73" s="30">
        <f t="shared" si="3"/>
        <v>50212</v>
      </c>
    </row>
    <row r="74" spans="1:18" x14ac:dyDescent="0.25">
      <c r="A74" s="30">
        <v>5072</v>
      </c>
      <c r="B74" s="30" t="s">
        <v>112</v>
      </c>
      <c r="C74" s="30">
        <v>739323</v>
      </c>
      <c r="D74" s="30" t="s">
        <v>41</v>
      </c>
      <c r="E74" s="30" t="s">
        <v>20</v>
      </c>
      <c r="F74" s="30" t="s">
        <v>39</v>
      </c>
      <c r="G74" s="30" t="s">
        <v>48</v>
      </c>
      <c r="H74" s="30">
        <v>5</v>
      </c>
      <c r="I74" s="30">
        <v>30000</v>
      </c>
      <c r="J74" s="30">
        <f t="shared" si="2"/>
        <v>150000</v>
      </c>
      <c r="K74" s="30" t="s">
        <v>40</v>
      </c>
      <c r="L74" s="30" t="s">
        <v>32</v>
      </c>
      <c r="M74" s="30">
        <v>3</v>
      </c>
      <c r="N74" s="30">
        <v>2025</v>
      </c>
      <c r="O74" s="30">
        <v>4</v>
      </c>
      <c r="P74" s="30">
        <v>530</v>
      </c>
      <c r="Q74" s="30">
        <v>738</v>
      </c>
      <c r="R74" s="30">
        <f t="shared" si="3"/>
        <v>145268</v>
      </c>
    </row>
    <row r="75" spans="1:18" x14ac:dyDescent="0.25">
      <c r="A75" s="30">
        <v>5073</v>
      </c>
      <c r="B75" s="30" t="s">
        <v>113</v>
      </c>
      <c r="C75" s="30">
        <v>739324</v>
      </c>
      <c r="D75" s="30" t="s">
        <v>19</v>
      </c>
      <c r="E75" s="30" t="s">
        <v>44</v>
      </c>
      <c r="F75" s="30" t="s">
        <v>52</v>
      </c>
      <c r="G75" s="30" t="s">
        <v>22</v>
      </c>
      <c r="H75" s="30">
        <v>2</v>
      </c>
      <c r="I75" s="30">
        <v>45000</v>
      </c>
      <c r="J75" s="30">
        <f t="shared" si="2"/>
        <v>90000</v>
      </c>
      <c r="K75" s="30" t="s">
        <v>40</v>
      </c>
      <c r="L75" s="30" t="s">
        <v>24</v>
      </c>
      <c r="M75" s="30">
        <v>3</v>
      </c>
      <c r="N75" s="30">
        <v>2025</v>
      </c>
      <c r="O75" s="30">
        <v>0</v>
      </c>
      <c r="P75" s="30">
        <v>3425</v>
      </c>
      <c r="Q75" s="30">
        <v>782</v>
      </c>
      <c r="R75" s="30">
        <f t="shared" si="3"/>
        <v>94207</v>
      </c>
    </row>
    <row r="76" spans="1:18" x14ac:dyDescent="0.25">
      <c r="A76" s="30">
        <v>5074</v>
      </c>
      <c r="B76" s="30" t="s">
        <v>114</v>
      </c>
      <c r="C76" s="30">
        <v>739325</v>
      </c>
      <c r="D76" s="30" t="s">
        <v>46</v>
      </c>
      <c r="E76" s="30" t="s">
        <v>20</v>
      </c>
      <c r="F76" s="30" t="s">
        <v>21</v>
      </c>
      <c r="G76" s="30" t="s">
        <v>22</v>
      </c>
      <c r="H76" s="30">
        <v>2</v>
      </c>
      <c r="I76" s="30">
        <v>45000</v>
      </c>
      <c r="J76" s="30">
        <f t="shared" si="2"/>
        <v>90000</v>
      </c>
      <c r="K76" s="30" t="s">
        <v>29</v>
      </c>
      <c r="L76" s="30" t="s">
        <v>32</v>
      </c>
      <c r="M76" s="30">
        <v>3</v>
      </c>
      <c r="N76" s="30">
        <v>2025</v>
      </c>
      <c r="O76" s="30">
        <v>8</v>
      </c>
      <c r="P76" s="30">
        <v>2684</v>
      </c>
      <c r="Q76" s="30">
        <v>1469</v>
      </c>
      <c r="R76" s="30">
        <f t="shared" si="3"/>
        <v>86953</v>
      </c>
    </row>
    <row r="77" spans="1:18" x14ac:dyDescent="0.25">
      <c r="A77" s="30">
        <v>5075</v>
      </c>
      <c r="B77" s="30" t="s">
        <v>115</v>
      </c>
      <c r="C77" s="30">
        <v>739326</v>
      </c>
      <c r="D77" s="30" t="s">
        <v>41</v>
      </c>
      <c r="E77" s="30" t="s">
        <v>31</v>
      </c>
      <c r="F77" s="30" t="s">
        <v>27</v>
      </c>
      <c r="G77" s="30" t="s">
        <v>57</v>
      </c>
      <c r="H77" s="30">
        <v>1</v>
      </c>
      <c r="I77" s="30">
        <v>40000</v>
      </c>
      <c r="J77" s="30">
        <f t="shared" si="2"/>
        <v>40000</v>
      </c>
      <c r="K77" s="30" t="s">
        <v>23</v>
      </c>
      <c r="L77" s="30" t="s">
        <v>32</v>
      </c>
      <c r="M77" s="30">
        <v>3</v>
      </c>
      <c r="N77" s="30">
        <v>2025</v>
      </c>
      <c r="O77" s="30">
        <v>5</v>
      </c>
      <c r="P77" s="30">
        <v>727</v>
      </c>
      <c r="Q77" s="30">
        <v>934</v>
      </c>
      <c r="R77" s="30">
        <f t="shared" si="3"/>
        <v>39661</v>
      </c>
    </row>
    <row r="80" spans="1:18" ht="15.75" thickBot="1" x14ac:dyDescent="0.3"/>
    <row r="81" spans="3:6" ht="32.25" thickBot="1" x14ac:dyDescent="0.55000000000000004">
      <c r="C81" s="27" t="s">
        <v>116</v>
      </c>
      <c r="D81" s="28"/>
      <c r="E81" s="29"/>
      <c r="F81" s="26"/>
    </row>
    <row r="82" spans="3:6" ht="15.75" thickBot="1" x14ac:dyDescent="0.3">
      <c r="C82" s="23"/>
      <c r="D82" s="24"/>
      <c r="E82" s="24"/>
      <c r="F82" s="25"/>
    </row>
    <row r="83" spans="3:6" x14ac:dyDescent="0.25">
      <c r="C83" s="13" t="s">
        <v>117</v>
      </c>
      <c r="D83" s="14"/>
      <c r="E83" s="7" t="s">
        <v>118</v>
      </c>
      <c r="F83" s="8">
        <f>SUM(J3:J77)</f>
        <v>11750000</v>
      </c>
    </row>
    <row r="84" spans="3:6" x14ac:dyDescent="0.25">
      <c r="C84" s="15" t="s">
        <v>119</v>
      </c>
      <c r="D84" s="16"/>
      <c r="E84" s="6" t="s">
        <v>120</v>
      </c>
      <c r="F84" s="9">
        <f>COUNT(A3:A77)</f>
        <v>75</v>
      </c>
    </row>
    <row r="85" spans="3:6" x14ac:dyDescent="0.25">
      <c r="C85" s="15" t="s">
        <v>121</v>
      </c>
      <c r="D85" s="16"/>
      <c r="E85" s="6" t="s">
        <v>122</v>
      </c>
      <c r="F85" s="9">
        <f>COUNTA(D3:D77)</f>
        <v>75</v>
      </c>
    </row>
    <row r="86" spans="3:6" x14ac:dyDescent="0.25">
      <c r="C86" s="15" t="s">
        <v>123</v>
      </c>
      <c r="D86" s="16"/>
      <c r="E86" s="6" t="s">
        <v>124</v>
      </c>
      <c r="F86" s="9">
        <f>AVERAGE(J3:J77)</f>
        <v>156666.66666666666</v>
      </c>
    </row>
    <row r="87" spans="3:6" x14ac:dyDescent="0.25">
      <c r="C87" s="17" t="s">
        <v>125</v>
      </c>
      <c r="D87" s="16"/>
      <c r="E87" s="6" t="s">
        <v>126</v>
      </c>
      <c r="F87" s="9">
        <f>MAX(J3:J77)</f>
        <v>600000</v>
      </c>
    </row>
    <row r="88" spans="3:6" x14ac:dyDescent="0.25">
      <c r="C88" s="18" t="s">
        <v>127</v>
      </c>
      <c r="D88" s="19"/>
      <c r="E88" s="6" t="s">
        <v>128</v>
      </c>
      <c r="F88" s="9">
        <f>MIN(J3:J77)</f>
        <v>30000</v>
      </c>
    </row>
    <row r="89" spans="3:6" x14ac:dyDescent="0.25">
      <c r="C89" s="20" t="s">
        <v>129</v>
      </c>
      <c r="D89" s="16"/>
      <c r="E89" s="6" t="s">
        <v>130</v>
      </c>
      <c r="F89" s="10">
        <f>SUMIF(E3:E77,"Sales",J3:J77)</f>
        <v>3400000</v>
      </c>
    </row>
    <row r="90" spans="3:6" ht="15.75" thickBot="1" x14ac:dyDescent="0.3">
      <c r="C90" s="21" t="s">
        <v>10</v>
      </c>
      <c r="D90" s="22"/>
      <c r="E90" s="11" t="s">
        <v>131</v>
      </c>
      <c r="F90" s="12">
        <f>COUNTIF(K3:K77,"Cash")</f>
        <v>26</v>
      </c>
    </row>
  </sheetData>
  <conditionalFormatting sqref="J3:J77">
    <cfRule type="cellIs" dxfId="3" priority="2" operator="lessThan">
      <formula>100000</formula>
    </cfRule>
    <cfRule type="cellIs" dxfId="2" priority="3" operator="greaterThan">
      <formula>300000</formula>
    </cfRule>
    <cfRule type="cellIs" dxfId="1" priority="4" operator="greaterThan">
      <formula>300000</formula>
    </cfRule>
  </conditionalFormatting>
  <conditionalFormatting sqref="L3:L77">
    <cfRule type="containsText" dxfId="0" priority="1" operator="containsText" text="Pending">
      <formula>NOT(ISERROR(SEARCH("Pending",L3)))</formula>
    </cfRule>
  </conditionalFormatting>
  <dataValidations count="3">
    <dataValidation type="date" allowBlank="1" showInputMessage="1" showErrorMessage="1" sqref="B3:B77">
      <formula1>45658</formula1>
      <formula2>46003</formula2>
    </dataValidation>
    <dataValidation type="whole" allowBlank="1" showInputMessage="1" showErrorMessage="1" sqref="H3:H77">
      <formula1>1</formula1>
      <formula2>10</formula2>
    </dataValidation>
    <dataValidation type="list" allowBlank="1" showInputMessage="1" showErrorMessage="1" errorTitle="Invalid Payment Mode" error="Please select Cash, Card, or Online only" sqref="K3:K77">
      <formula1>"Cash,Card,Online"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Sheet4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2026-01-30T23:30:00Z</dcterms:created>
  <dcterms:modified xsi:type="dcterms:W3CDTF">2026-02-04T16:47:51Z</dcterms:modified>
</cp:coreProperties>
</file>